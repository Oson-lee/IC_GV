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cuments\Ph.D_2023_02_13\GVClass_manuscript\"/>
    </mc:Choice>
  </mc:AlternateContent>
  <xr:revisionPtr revIDLastSave="0" documentId="8_{82B0C9FB-31B5-4B01-B6ED-E5BFA0A999A7}" xr6:coauthVersionLast="47" xr6:coauthVersionMax="47" xr10:uidLastSave="{00000000-0000-0000-0000-000000000000}"/>
  <bookViews>
    <workbookView xWindow="-28920" yWindow="-120" windowWidth="29040" windowHeight="15720" xr2:uid="{B14633DE-F22F-476E-BA74-9C64F634EDEB}"/>
  </bookViews>
  <sheets>
    <sheet name="S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2" i="1" l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<sst xmlns="http://schemas.openxmlformats.org/spreadsheetml/2006/main" count="611" uniqueCount="223">
  <si>
    <t>AbALV Asfarviridae|g27|AF_01|Asfuvirales|Pokkesviricetes|Nucleocytoviricota|AbALV</t>
  </si>
  <si>
    <t>NCLDV__Asfuvirales:8(88.89%),ARC__Micrarchaeia:1(11.11%)</t>
  </si>
  <si>
    <t>NCLDV__Asfuvirales</t>
  </si>
  <si>
    <t>Asfuvirales</t>
  </si>
  <si>
    <t>AF_01</t>
  </si>
  <si>
    <t>DhV1 Mininucleoviridae|g345|PM_10|Pimascovirales|Megaviricetes|Nucleocytoviricota|Dikerogammarus haemobaphes virus 1</t>
  </si>
  <si>
    <t>NCLDV__Pimascovirales:4(100.00%)</t>
  </si>
  <si>
    <t>NCLDV__Pimascovirales</t>
  </si>
  <si>
    <t>Pimascovirales</t>
  </si>
  <si>
    <t>PM_10</t>
  </si>
  <si>
    <t>GCA_000427115-1_CBEV_1 Poxviridae|g9|PX_01|Chitovirales|Pokkesviricetes|Nucleocytoviricota|Choristoneura biennis entomopoxvirus</t>
  </si>
  <si>
    <t>NCLDV__Chitovirales:6(100.00%)</t>
  </si>
  <si>
    <t>NCLDV__Chitovirales</t>
  </si>
  <si>
    <t>Chitovirales</t>
  </si>
  <si>
    <t>PX_01</t>
  </si>
  <si>
    <t>GCA_000427135-1_AHEV_1 Poxviridae|g9|PX_01|Chitovirales|Pokkesviricetes|Nucleocytoviricota|Adoxophyes honmai entomopoxvirus 'L' Tokyo</t>
  </si>
  <si>
    <t>GCA_000837185-1_ViralProj14097 Poxviridae|g9|PX_01|Chitovirales|Pokkesviricetes|Nucleocytoviricota|Amsacta moorei entomopoxvirus</t>
  </si>
  <si>
    <t>GCA_000838105-1_ViralProj14124 Iridoviridae|g130|PM_02|Pimascovirales|Megaviricetes|Nucleocytoviricota|Invertebrate iridescent virus 6</t>
  </si>
  <si>
    <t>NCLDV__Pimascovirales:12(100.00%)</t>
  </si>
  <si>
    <t>PM_02</t>
  </si>
  <si>
    <t>GCA_000838565-1_ViralProj14042 Poxviridae|g11|PX_01|Chitovirales|Pokkesviricetes|Nucleocytoviricota|Melanoplus sanguinipes entomopoxvirus 'O' Tucson</t>
  </si>
  <si>
    <t>GCA_000838605-1_ViralProj14052 Poxviridae|g6|PX_01|Chitovirales|Pokkesviricetes|Nucleocytoviricota|Fowlpox virus</t>
  </si>
  <si>
    <t>NCLDV__Chitovirales:6(85.71%),EUK__Amphibia:1(14.29%)</t>
  </si>
  <si>
    <t>GCA_000839605-1_ViralProj14081 -|g125|PM_03|Pimascovirales|Megaviricetes|Nucleocytoviricota|Lymphocystis disease virus 1</t>
  </si>
  <si>
    <t>NCLDV__Pimascovirales:6(100.00%)</t>
  </si>
  <si>
    <t>PM_03</t>
  </si>
  <si>
    <t>GCA_000839965-1_ViralProj14155 Poxviridae|g1|PX_01|Chitovirales|Pokkesviricetes|Nucleocytoviricota|Swinepox virus 17077-99</t>
  </si>
  <si>
    <t>NCLDV__Chitovirales:7(100.00%)</t>
  </si>
  <si>
    <t>GCA_000841685-1_ViralProj14340 Poxviridae|g6|PX_01|Chitovirales|Pokkesviricetes|Nucleocytoviricota|Canarypox virus strain=ATCC VR-111</t>
  </si>
  <si>
    <t>GCA_000843325-1_ViralProj14328 Poxviridae|g5|PX_01|Chitovirales|Pokkesviricetes|Nucleocytoviricota|Molluscum contagiosum virus subtype 1</t>
  </si>
  <si>
    <t>GCA_000844045-1_ViralProj14469 Poxviridae|g3|PX_01|Chitovirales|Pokkesviricetes|Nucleocytoviricota|Bovine papular stomatitis virus strain=BV-AR02</t>
  </si>
  <si>
    <t>NCLDV__Chitovirales:8(100.00%)</t>
  </si>
  <si>
    <t>GCA_000844845-1_ViralProj14464 Poxviridae|g3|PX_01|Chitovirales|Pokkesviricetes|Nucleocytoviricota|Orf virus strain=OV-SA00</t>
  </si>
  <si>
    <t>GCA_000845705-1_ViralProj14466 Poxviridae|g1|PX_01|Chitovirales|Pokkesviricetes|Nucleocytoviricota|Yaba monkey tumor virus</t>
  </si>
  <si>
    <t>GCA_000846905-1_ViralProj14544 -|g124|PM_03|Pimascovirales|Megaviricetes|Nucleocytoviricota|Singapore grouper iridovirus</t>
  </si>
  <si>
    <t>NCLDV__Pimascovirales:7(100.00%)</t>
  </si>
  <si>
    <t>GCA_000847045-1_ViralProj14564 Phycodnaviridae|g184|AG_02|Algavirales|Megaviricetes|Nucleocytoviricota|Paramecium bursaria Chlorella virus 1</t>
  </si>
  <si>
    <t>NCLDV__Algavirales:20(100.00%)</t>
  </si>
  <si>
    <t>NCLDV__Algavirales</t>
  </si>
  <si>
    <t>Algavirales</t>
  </si>
  <si>
    <t>AG_02</t>
  </si>
  <si>
    <t>GCA_000847185-1_ViralProj14595 Poxviridae|g1|PX_01|Chitovirales|Pokkesviricetes|Nucleocytoviricota|Yaba-like disease virus</t>
  </si>
  <si>
    <t>GCA_000847965-1_ViralProj14590 Poxviridae|g1|PX_01|Chitovirales|Pokkesviricetes|Nucleocytoviricota|Rabbit fibroma virus strain=Kasza</t>
  </si>
  <si>
    <t>GCA_000867605-1_ViralProj17721 Iridoviridae|g127|PM_02|Pimascovirales|Megaviricetes|Nucleocytoviricota|Spodoptera frugiperda ascovirus 1a</t>
  </si>
  <si>
    <t>NCLDV__Pimascovirales:9(90.00%),BAC__Alphaproteobacteria:1(10.00%)</t>
  </si>
  <si>
    <t>GCA_000867825-1_ViralProj18305 Phycodnaviridae|g184|AG_02|Algavirales|Megaviricetes|Nucleocytoviricota|Paramecium bursaria Chlorella virus FR483 strain=FR483</t>
  </si>
  <si>
    <t>NCLDV__Algavirales:17(100.00%)</t>
  </si>
  <si>
    <t>GCA_000869065-1_ViralProj16798 Poxviridae|g7|PX_01|Chitovirales|Pokkesviricetes|Nucleocytoviricota|Nile crocodilepox virus</t>
  </si>
  <si>
    <t>NCLDV__Chitovirales:14(100.00%)</t>
  </si>
  <si>
    <t>GCA_000869125-1_ViralProj17099 Iridoviridae|g132|PM_02|Pimascovirales|Megaviricetes|Nucleocytoviricota|Aedes taeniorhynchus iridescent virus</t>
  </si>
  <si>
    <t>NCLDV__Pimascovirales:10(100.00%)</t>
  </si>
  <si>
    <t>GCA_000869685-1_ViralProj18527 Phycodnaviridae|g184|AG_02|Algavirales|Megaviricetes|Nucleocytoviricota|Acanthocystis turfacea chlorella virus 1 strain=ATCV-1</t>
  </si>
  <si>
    <t>NCLDV__Algavirales:16(100.00%)</t>
  </si>
  <si>
    <t>GCA_000873685-1_ViralProj20989 Phycodnaviridae|g184|AG_02|Algavirales|Megaviricetes|Nucleocytoviricota|Paramecium bursaria Chlorella virus NY2A strain=NY-2A</t>
  </si>
  <si>
    <t>NCLDV__Algavirales:22(100.00%)</t>
  </si>
  <si>
    <t>GCA_000881595-1_ViralProj32133 Iridoviridae|g128|PM_02|Pimascovirales|Megaviricetes|Nucleocytoviricota|Diadromus pulchellus ascovirus 4a</t>
  </si>
  <si>
    <t>NCLDV__Pimascovirales:10(90.91%),EUK__Variosea:1(9.09%)</t>
  </si>
  <si>
    <t>GCA_000886295-1_ViralProj45973 Poxviridae|g3|PX_01|Chitovirales|Pokkesviricetes|Nucleocytoviricota|Pseudocowpox virus strain=VR634</t>
  </si>
  <si>
    <t>GCA_000889395-1_ViralProj59783 Mimiviridae|g225|IM_16|Imitervirales|Megaviricetes|Nucleocytoviricota|Cafeteria roenbergensis virus BV-PW1 strain=BV-PW1</t>
  </si>
  <si>
    <t>NCLDV__Imitervirales:21(95.45%),BAC__Bacteroidia:1(4.55%)</t>
  </si>
  <si>
    <t>NCLDV__Imitervirales</t>
  </si>
  <si>
    <t>Imitervirales</t>
  </si>
  <si>
    <t>IM_16</t>
  </si>
  <si>
    <t>GCA_000889515-1_ViralProj61009 Prasinoviridae|g177|AG_01|Algavirales|Megaviricetes|Nucleocytoviricota|Bathycoccus sp- RCC1105 virus BpV1</t>
  </si>
  <si>
    <t>NCLDV__Algavirales:14(100.00%)</t>
  </si>
  <si>
    <t>AG_01</t>
  </si>
  <si>
    <t>GCA_000890375-1_ViralProj61013 Prasinoviridae|g177|AG_01|Algavirales|Megaviricetes|Nucleocytoviricota|Micromonas sp- RCC1109 virus MpV1</t>
  </si>
  <si>
    <t>GCA_000891235-1_ViralProj69999 Iridoviridae|g132|PM_02|Pimascovirales|Megaviricetes|Nucleocytoviricota|Wiseana iridescent virus</t>
  </si>
  <si>
    <t>GCA_000892975-1_ViralProj72715 Poxviridae|g1|PX_01|Chitovirales|Pokkesviricetes|Nucleocytoviricota|Yokapox virus strain=DakArB 4268</t>
  </si>
  <si>
    <t>GCA_000904035-1_ViralProj186430 Mimiviridae|g246|IM_16|Imitervirales|Megaviricetes|Nucleocytoviricota|Acanthamoeba polyphaga moumouvirus strain=M10A</t>
  </si>
  <si>
    <t>NCLDV__Imitervirales:41(93.18%),EUK__Centroplasthelida:1(2.27%),EUK__Pyramimonadophyceae:1(2.27%),EUK__Polycystinea:1(2.27%)</t>
  </si>
  <si>
    <t>GCA_000906035-1_ViralProj195482 Prasinoviridae|g177|AG_01|Algavirales|Megaviricetes|Nucleocytoviricota|Micromonas pusilla virus 12T strain=12T</t>
  </si>
  <si>
    <t>NCLDV__Algavirales:19(100.00%)</t>
  </si>
  <si>
    <t>GCA_000911655-1_ViralProj213019 Pandoraviridae|g141|PV_04|Pandoravirales|Megaviricetes|Nucleocytoviricota|Pandoravirus dulcis Melbourne</t>
  </si>
  <si>
    <t>NCLDV__Pandoravirales:15(100.00%)</t>
  </si>
  <si>
    <t>NCLDV__Pandoravirales</t>
  </si>
  <si>
    <t>Pandoravirales</t>
  </si>
  <si>
    <t>PV_04</t>
  </si>
  <si>
    <t>GCA_000911955-1_ViralProj215788 Pandoraviridae|g141|PV_04|Pandoravirales|Megaviricetes|Nucleocytoviricota|Pandoravirus salinus</t>
  </si>
  <si>
    <t>NCLDV__Pandoravirales:23(100.00%)</t>
  </si>
  <si>
    <t>GCA_000913615-1_ViralProj223065 Poxviridae|g4|PX_01|Chitovirales|Pokkesviricetes|Nucleocytoviricota|Squirrelpox virus strain=Red squirrel UK</t>
  </si>
  <si>
    <t>GCA_000914535-1_ViralProj239736 Iridoviridae|g132|PM_02|Pimascovirales|Megaviricetes|Nucleocytoviricota|Invertebrate iridovirus 25</t>
  </si>
  <si>
    <t>GCA_000916835-1_ViralProj237323 Pithoviridae|g65|PM_07|Pimascovirales|Megaviricetes|Nucleocytoviricota|Pithovirus sibericum P1084-T</t>
  </si>
  <si>
    <t>NCLDV__Pimascovirales:11(100.00%)</t>
  </si>
  <si>
    <t>PM_07</t>
  </si>
  <si>
    <t>GCA_000918955-1_ViralProj243064 Iridoviridae|g133|PM_02|Pimascovirales|Megaviricetes|Nucleocytoviricota|Anopheles minimus irodovirus AMIV</t>
  </si>
  <si>
    <t>GCA_000922335-1_ViralProj258005 -|g278|IM_09|Imitervirales|Megaviricetes|Nucleocytoviricota|Aureococcus anophagefferens virus BtV-01</t>
  </si>
  <si>
    <t>NCLDV__Imitervirales:19(100.00%)</t>
  </si>
  <si>
    <t>IM_09</t>
  </si>
  <si>
    <t>GCA_000923135-1_ViralProj253477 Poxviridae|g6|PX_01|Chitovirales|Pokkesviricetes|Nucleocytoviricota|Penguinpox virus PSan92</t>
  </si>
  <si>
    <t>GCA_000923155-1_ViralProj253719 Iridoviridae|g129|PM_02|Pimascovirales|Megaviricetes|Nucleocytoviricota|Armadillidium vulgare iridescent virus</t>
  </si>
  <si>
    <t>NCLDV__Pimascovirales:13(100.00%)</t>
  </si>
  <si>
    <t>GCA_000928575-1_ViralProj274798 Pandoraviridae|g141|PV_04|Pandoravirales|Megaviricetes|Nucleocytoviricota|Pandoravirus inopinatum KlaHel</t>
  </si>
  <si>
    <t>NCLDV__Pandoravirales:21(95.45%),EUK__Flabellinia:1(4.55%)</t>
  </si>
  <si>
    <t>GCA_000930695-1_ViralProj271121 Poxviridae|g3|PX_01|Chitovirales|Pokkesviricetes|Nucleocytoviricota|Parapoxvirus red deer/HL953 strain=HL953</t>
  </si>
  <si>
    <t>GCA_001029045-1_ViralProj287042 Poxviridae|g1|PX_01|Chitovirales|Pokkesviricetes|Nucleocytoviricota|Raccoonpox virus strain=Herman</t>
  </si>
  <si>
    <t>GCA_001271235-1_ViralProj293081 Poxviridae|g8|PX_01|Chitovirales|Pokkesviricetes|Nucleocytoviricota|Salmon gill poxvirus 2012-04-F277-L3G</t>
  </si>
  <si>
    <t>NCLDV__Chitovirales:7(87.50%),NCLDV__Algavirales:1(12.50%)</t>
  </si>
  <si>
    <t>GCA_001292995-1_ViralProj295679 Pandoraviridae|g142|PV_04|Pandoravirales|Megaviricetes|Nucleocytoviricota|Mollivirus sibericum P1084-T</t>
  </si>
  <si>
    <t>NCLDV__Pandoravirales:9(75.00%),NCLDV__Pimascovirales:1(8.33%),EUK__Discosea_X:1(8.33%),EUK__Haptophyta_X:1(8.33%)</t>
  </si>
  <si>
    <t>GCA_001399245-1_ViralProj298907 -|g343|IM_01|Imitervirales|Megaviricetes|Nucleocytoviricota|Chrysochromulina ericina virus CeV-01B</t>
  </si>
  <si>
    <t>NCLDV__Imitervirales:20(100.00%)</t>
  </si>
  <si>
    <t>IM_01</t>
  </si>
  <si>
    <t>GCA_001399265-1_ViralProj298990 Prasinoviridae|g177|AG_01|Algavirales|Megaviricetes|Nucleocytoviricota|Ostreococcus mediterraneus virus 1 OmV1</t>
  </si>
  <si>
    <t>NCLDV__Algavirales:16(94.12%),EUK__Mamiellophyceae:1(5.88%)</t>
  </si>
  <si>
    <t>GCA_001399285-1_ViralProj298920 Prasinoviridae|g177|AG_01|Algavirales|Megaviricetes|Nucleocytoviricota|Ostreococcus lucimarinus virus 2 Olv2</t>
  </si>
  <si>
    <t>GCA_001430455-1_ViralProj300257 Prasinoviridae|g182|AG_01|Algavirales|Megaviricetes|Nucleocytoviricota|Yellowstone lake phycodnavirus 2</t>
  </si>
  <si>
    <t>GCA_001430655-1_ViralProj300258 Prasinoviridae|g182|AG_01|Algavirales|Megaviricetes|Nucleocytoviricota|Yellowstone lake phycodnavirus 1</t>
  </si>
  <si>
    <t>GCA_001431935-1_ViralProj301027 Poxviridae|g6|PX_01|Chitovirales|Pokkesviricetes|Nucleocytoviricota|Turkeypox virus strain=TKPV-HU1124/2011</t>
  </si>
  <si>
    <t>GCA_001602085-1_ViralProj316309 Marseilleviridae|g51|PM_05|Pimascovirales|Megaviricetes|Nucleocytoviricota|Brazilian marseillevirus strain=BH2014</t>
  </si>
  <si>
    <t>NCLDV__Pimascovirales:14(100.00%)</t>
  </si>
  <si>
    <t>PM_05</t>
  </si>
  <si>
    <t>GCA_001654305-1_ViralProj323872 Marseilleviridae|g51|PM_05|Pimascovirales|Megaviricetes|Nucleocytoviricota|Tokyovirus A1 strain=Tokyovirus A1</t>
  </si>
  <si>
    <t>GCA_001695465-1_ViralProj331044 Poxviridae|g2|PX_01|Chitovirales|Pokkesviricetes|Nucleocytoviricota|Pteropox virus strain=Australia</t>
  </si>
  <si>
    <t>GCA_001744115-1_ViralProj344208 Poxviridae|g1|PX_01|Chitovirales|Pokkesviricetes|Nucleocytoviricota|Volepox virus strain=CA</t>
  </si>
  <si>
    <t>GCA_001745695-1_ViralProj344115 Poxviridae|g1|PX_01|Chitovirales|Pokkesviricetes|Nucleocytoviricota|Skunkpox virus strain=WA</t>
  </si>
  <si>
    <t>GCA_001806195-1_ViralProj349153 Marseilleviridae|g51|PM_05|Pimascovirales|Megaviricetes|Nucleocytoviricota|Golden Marseillevirus strain=Golden</t>
  </si>
  <si>
    <t>NCLDV__Pimascovirales:11(91.67%),BAC__Bacteroidia:1(8.33%)</t>
  </si>
  <si>
    <t>GCA_001907825-1_ViralProj357638 Poxviridae|g1|PX_01|Chitovirales|Pokkesviricetes|Nucleocytoviricota|BeAn 58058 virus strain=BeAn58058</t>
  </si>
  <si>
    <t>NCLDV__Chitovirales:7(87.50%),BAC__Kapabacteria:1(12.50%)</t>
  </si>
  <si>
    <t>GCA_001974475-1_ViralProj368971 -|g125|PM_03|Pimascovirales|Megaviricetes|Nucleocytoviricota|Lymphocystis disease virus Sa SA9</t>
  </si>
  <si>
    <t>NCLDV__Pimascovirales:7(87.50%),EUK__Scyphozoa:1(12.50%)</t>
  </si>
  <si>
    <t>GCA_001995575-1_ViralProj357483 Pithoviridae|g66|PM_07|Pimascovirales|Megaviricetes|Nucleocytoviricota|Cedratvirus A11 strain=A11</t>
  </si>
  <si>
    <t>GCA_002114025-1_ViralProj384397 Asfarviridae|g20|AF_01|Asfuvirales|Pokkesviricetes|Nucleocytoviricota|Pacmanvirus A23 strain=A23</t>
  </si>
  <si>
    <t>NCLDV__Asfuvirales:13(86.67%),NCLDV__Imitervirales:1(6.67%),EUK__Litostomatea:1(6.67%)</t>
  </si>
  <si>
    <t>GCA_002116175-1_ViralProj381648 Asfarviridae|g16|AF_01|Asfuvirales|Pokkesviricetes|Nucleocytoviricota|Kaumoebavirus Sc</t>
  </si>
  <si>
    <t>NCLDV__Asfuvirales:12(70.59%),NCLDV__Pimascovirales:2(11.76%),BAC__Clostridia:1(5.88%),NCLDV__Imitervirales:1(5.88%),EUK__Elardia:1(5.88%)</t>
  </si>
  <si>
    <t>GCA_002219465-1_ViralProj394314 Poxviridae|g3|PX_01|Chitovirales|Pokkesviricetes|Nucleocytoviricota|Seal parapoxvirus AFK76s1</t>
  </si>
  <si>
    <t>GCA_002270885-1_ViralProj399945 Poxviridae|g1|PX_01|Chitovirales|Pokkesviricetes|Nucleocytoviricota|Murmansk poxvirus strain=LEIV-11411</t>
  </si>
  <si>
    <t>GCA_002354965-1_ViralProj406966 Poxviridae|g1|PX_01|Chitovirales|Pokkesviricetes|Nucleocytoviricota|Squirrelpox virus Berlin_2015 strain=Berlin_2015</t>
  </si>
  <si>
    <t>GCA_002354985-1_ViralProj395094 Poxviridae|g1|PX_01|Chitovirales|Pokkesviricetes|Nucleocytoviricota|Eptesipox virus strain=Washington</t>
  </si>
  <si>
    <t>GCA_002818865-1_ASM281886v1 Iridoviridae|g127|PM_02|Pimascovirales|Megaviricetes|Nucleocytoviricota|Heliothis virescens ascovirus 3f LD135790</t>
  </si>
  <si>
    <t>GCA_002826585-1_ASM282658v1 -|g123|PM_03|Pimascovirales|Megaviricetes|Nucleocytoviricota|European catfish virus strain=13051/2012</t>
  </si>
  <si>
    <t>GCA_002826725-1_ASM282672v1 Marseilleviridae|g51|PM_05|Pimascovirales|Megaviricetes|Nucleocytoviricota|Tunisvirus fontaine2 strain=U484</t>
  </si>
  <si>
    <t>GCA_002827745-1_ASM282774v1 -|g170|AG_04|Algavirales|Megaviricetes|Nucleocytoviricota|Heterosigma akashiwo virus 01 HaV53</t>
  </si>
  <si>
    <t>NCLDV__Algavirales:7(100.00%)</t>
  </si>
  <si>
    <t>AG_04</t>
  </si>
  <si>
    <t>GCA_002892525-1_ASM289252v1 Pithoviridae|g59|PM_07|Pimascovirales|Megaviricetes|Nucleocytoviricota|Orpheovirus IHUMI_LCC2 strain=IHUMI_LCC2</t>
  </si>
  <si>
    <t>NCLDV__Pimascovirales:10(66.67%),NCLDV__Imitervirales:3(20.00%),EUK__Echinamoebida:2(13.33%)</t>
  </si>
  <si>
    <t>GCA_002924545-1_ASM292454v1 Mimiviridae|g246|IM_16|Imitervirales|Megaviricetes|Nucleocytoviricota|Powai lake megavirus</t>
  </si>
  <si>
    <t>NCLDV__Imitervirales:36(97.30%),EUK__Discosea_X:1(2.70%)</t>
  </si>
  <si>
    <t>GCA_002966375-1_ASM296637v1 Mimiviridae|g246|IM_16|Imitervirales|Megaviricetes|Nucleocytoviricota|Acanthamoeba polyphaga mimivirus strain=Kroon</t>
  </si>
  <si>
    <t>NCLDV__Imitervirales:30(96.77%),EUK__Trebouxiophyceae:1(3.23%)</t>
  </si>
  <si>
    <t>GCA_002966385-1_ASM296638v1 Mimiviridae|g246|IM_16|Imitervirales|Megaviricetes|Nucleocytoviricota|Acanthamoeba polyphaga mimivirus strain=Oyster</t>
  </si>
  <si>
    <t>NCLDV__Imitervirales:34(100.00%)</t>
  </si>
  <si>
    <t>GCA_002966405-1_ASM296640v1 Mimiviridae|g237|IM_16|Imitervirales|Megaviricetes|Nucleocytoviricota|Bodo saltans virus strain=NG1</t>
  </si>
  <si>
    <t>NCLDV__Imitervirales:28(87.50%),EUK__Heterolobosea_X:1(3.12%),EUK__Centroplasthelida:1(3.12%),EUK__Kinetoplastea:1(3.12%),EUK__Raphidophyceae:1(3.12%)</t>
  </si>
  <si>
    <t>GCA_002966435-1_ASM296643v1 Mimiviridae|g246|IM_16|Imitervirales|Megaviricetes|Nucleocytoviricota|Moumouvirus goulette</t>
  </si>
  <si>
    <t>NCLDV__Imitervirales:38(100.00%)</t>
  </si>
  <si>
    <t>GCA_002966485-1_ASM296648v1 Mimiviridae|g246|IM_16|Imitervirales|Megaviricetes|Nucleocytoviricota|Tupanvirus soda lake soda lake</t>
  </si>
  <si>
    <t>NCLDV__Imitervirales:45(95.74%),EUK__Arachnida:1(2.13%),BAC__Alphaproteobacteria:1(2.13%)</t>
  </si>
  <si>
    <t>GCA_003047755-1_ASM304775v1 Asfarviridae|g26|AF_01|Asfuvirales|Pokkesviricetes|Nucleocytoviricota|African swine fever virus Georgia 2007/1 strain=Georgia 2007/1</t>
  </si>
  <si>
    <t>NCLDV__Asfuvirales:11(100.00%)</t>
  </si>
  <si>
    <t>GCA_003051145-1_ASM305114v1 Asfarviridae|g22|AF_01|Asfuvirales|Pokkesviricetes|Nucleocytoviricota|Faustovirus strain=D5b</t>
  </si>
  <si>
    <t>GCA_003051645-1_ASM305164v1 Prasinoviridae|g177|AG_01|Algavirales|Megaviricetes|Nucleocytoviricota|Bathycoccus sp- RCC1105 virus BpV2</t>
  </si>
  <si>
    <t>NCLDV__Algavirales:15(100.00%)</t>
  </si>
  <si>
    <t>GCA_003051685-1_ASM305168v1 Prasinoviridae|g177|AG_01|Algavirales|Megaviricetes|Nucleocytoviricota|Ostreococcus tauri virus RT-2011 OtV6</t>
  </si>
  <si>
    <t>NCLDV__Algavirales:18(100.00%)</t>
  </si>
  <si>
    <t>GCA_003069485-1_ASM306948v1 Phycodnaviridae|g184|AG_02|Algavirales|Megaviricetes|Nucleocytoviricota|Paramecium bursaria chlorella virus MT325 strain=MT325</t>
  </si>
  <si>
    <t>GCA_003233895-1_ASM323389v1 Pandoraviridae|g141|PV_04|Pandoravirales|Megaviricetes|Nucleocytoviricota|Pandoravirus quercus quercus</t>
  </si>
  <si>
    <t>NCLDV__Pandoravirales:17(100.00%)</t>
  </si>
  <si>
    <t>GCA_003233915-1_ASM323391v1 Pandoraviridae|g141|PV_04|Pandoravirales|Megaviricetes|Nucleocytoviricota|Pandoravirus neocaledonia neocaledonia</t>
  </si>
  <si>
    <t>NCLDV__Pandoravirales:20(95.24%),NCLDV__Imitervirales:1(4.76%)</t>
  </si>
  <si>
    <t>GCA_003233935-1_ASM323393v1 Pandoraviridae|g141|PV_04|Pandoravirales|Megaviricetes|Nucleocytoviricota|Pandoravirus macleodensis macleodensis</t>
  </si>
  <si>
    <t>GCA_003260795-1_ASM326079v1 Poxviridae|g2|PX_01|Chitovirales|Pokkesviricetes|Nucleocytoviricota|Sea otter poxvirus strain=ELK</t>
  </si>
  <si>
    <t>GCA_004151645-1_ASM415164v1 Mimiviridae|g246|IM_16|Imitervirales|Megaviricetes|Nucleocytoviricota|Mimivirus sp- SH</t>
  </si>
  <si>
    <t>NCLDV__Imitervirales:33(100.00%)</t>
  </si>
  <si>
    <t>GCA_004156295-1_ASM415629v1 Mimiviridae|g246|IM_16|Imitervirales|Megaviricetes|Nucleocytoviricota|Moumouvirus australiensis 10A</t>
  </si>
  <si>
    <t>GCA_005411835-1_ASM541183v1 Poxviridae|g1|PX_01|Chitovirales|Pokkesviricetes|Nucleocytoviricota|Myxoma virus Toledo</t>
  </si>
  <si>
    <t>GCA_006118515-1_ASM611851v1 -|g343|IM_01|Imitervirales|Megaviricetes|Nucleocytoviricota|Phaeocystis globosa virus 12T strain=12T</t>
  </si>
  <si>
    <t>NCLDV__Imitervirales:21(100.00%)</t>
  </si>
  <si>
    <t>GCA_006450615-1_ASM645061v1 Poxviridae|g6|PX_01|Chitovirales|Pokkesviricetes|Nucleocytoviricota|Shearwaterpox virus strain=SWPV-1</t>
  </si>
  <si>
    <t>GCA_006451095-1_ASM645109v1 Iridoviridae|g127|PM_02|Pimascovirales|Megaviricetes|Nucleocytoviricota|Trichoplusia ni ascovirus 6b TnAV-6b</t>
  </si>
  <si>
    <t>NCLDV__Pimascovirales:9(100.00%)</t>
  </si>
  <si>
    <t>GCA_006451235-1_ASM645123v1 Poxviridae|g7|PX_01|Chitovirales|Pokkesviricetes|Nucleocytoviricota|Saltwater crocodilepox virus</t>
  </si>
  <si>
    <t>GCA_006451655-1_ASM645165v1 -|g126|PM_03|Pimascovirales|Megaviricetes|Nucleocytoviricota|Three spot gourami iridovirus TRT15003</t>
  </si>
  <si>
    <t>NCLDV__Pimascovirales:8(100.00%)</t>
  </si>
  <si>
    <t>GCA_006457375-1_ASM645737v1 -|g123|PM_03|Pimascovirales|Megaviricetes|Nucleocytoviricota|Mandarin fish ranavirus strain=NH-1609</t>
  </si>
  <si>
    <t>GCA_006458285-1_ASM645828v1 Poxviridae|g1|PX_01|Chitovirales|Pokkesviricetes|Nucleocytoviricota|Lumpy skin disease virus NW-LW Neethling Warmbaths LW</t>
  </si>
  <si>
    <t>GCA_006465445-1_ASM646544v1 Marseilleviridae|g51|PM_05|Pimascovirales|Megaviricetes|Nucleocytoviricota|Cannes 8 virus Cannes8</t>
  </si>
  <si>
    <t>NCLDV__Pimascovirales:15(100.00%)</t>
  </si>
  <si>
    <t>GCA_006465565-1_ASM646556v1 Poxviridae|g1|PX_01|Chitovirales|Pokkesviricetes|Nucleocytoviricota|Deerpox virus W-1170-84 W-1170-84</t>
  </si>
  <si>
    <t>GCA_006466005-1_ASM646600v1 Poxviridae|g1|PX_01|Chitovirales|Pokkesviricetes|Nucleocytoviricota|Cotia virus strain=SPAn880</t>
  </si>
  <si>
    <t>GCA_006472045-1_ASM647204v1 Marseilleviridae|g51|PM_05|Pimascovirales|Megaviricetes|Nucleocytoviricota|Port-miou virus</t>
  </si>
  <si>
    <t>GCA_006547245-1_ASM654724v1 -|g343|IM_01|Imitervirales|Megaviricetes|Nucleocytoviricota|Chrysochromulina parva virus BQ2</t>
  </si>
  <si>
    <t>NCLDV__Imitervirales:16(100.00%)</t>
  </si>
  <si>
    <t>GCA_009909525-1_ASM990952v1 Poxviridae|g1|PX_01|Chitovirales|Pokkesviricetes|Nucleocytoviricota|Cetacean poxvirus 1 strain=CePV-TA</t>
  </si>
  <si>
    <t>GCA_010974675-1_ASM1097467v1 Coccolithoviridae|g151|PV_05|Pandoravirales|Megaviricetes|Nucleocytoviricota|Emiliania huxleyi virus 207 strain=207</t>
  </si>
  <si>
    <t>NCLDV__Pandoravirales:13(92.86%),NCLDV__Imitervirales:1(7.14%)</t>
  </si>
  <si>
    <t>PV_05</t>
  </si>
  <si>
    <t>GCA_010974705-1_ASM1097470v1 Prasinoviridae|g177|AG_01|Algavirales|Megaviricetes|Nucleocytoviricota|Micromonas pusilla virus PL1 strain=PL1</t>
  </si>
  <si>
    <t>GCA_011559005-1_ASM1155900v1 -|g125|PM_03|Pimascovirales|Megaviricetes|Nucleocytoviricota|Lymphocystis disease virus 2 strain=LCDV-JP_Oita_2018</t>
  </si>
  <si>
    <t>GCA_011894875-1_ASM1189487v1 -|g126|PM_03|Pimascovirales|Megaviricetes|Nucleocytoviricota|Red seabream iridovirus KagYT-96</t>
  </si>
  <si>
    <t>GCA_900176665-1_PRJEB20203 Asfarviridae|g22|AF_01|Asfuvirales|Pokkesviricetes|Nucleocytoviricota|Faustovirus ST1 strain=ST1</t>
  </si>
  <si>
    <t>NCLDV__Asfuvirales:13(100.00%)</t>
  </si>
  <si>
    <t>GCA_900205285-1_ASM90020528v1 Pithoviridae|g66|PM_07|Pimascovirales|Megaviricetes|Nucleocytoviricota|Cedratvirus lausannensis</t>
  </si>
  <si>
    <t>GCA_900323535-1_PRJEB25578 Pithoviridae|g66|PM_07|Pimascovirales|Megaviricetes|Nucleocytoviricota|Brazilian cedratvirus IHUMI strain=IHUMI-27-7</t>
  </si>
  <si>
    <t>GCA_900327605-1_lib01460new Poxviridae|g1|PX_01|Chitovirales|Pokkesviricetes|Nucleocytoviricota|Cowpox virus Ger/2015/Prairie-dog</t>
  </si>
  <si>
    <t>NCLDV__Chitovirales:9(100.00%)</t>
  </si>
  <si>
    <t>GCA_900473875-1_DIV-1 Iridoviridae|g131|PM_02|Pimascovirales|Megaviricetes|Nucleocytoviricota|Daphnia iridovirus 1</t>
  </si>
  <si>
    <t>PaV1 Mininucleoviridae|g345|PM_10|Pimascovirales|Megaviricetes|Nucleocytoviricota|Carcinus maenas virus 1</t>
  </si>
  <si>
    <t>NCLDV__Pimascovirales:5(100.00%)</t>
  </si>
  <si>
    <t>PoV01b -|g304|IM_12|Imitervirales|Megaviricetes|Nucleocytoviricota|PoV01b</t>
  </si>
  <si>
    <t>IM_12</t>
  </si>
  <si>
    <t>Yasm Mimiviridae|g233|IM_16|Imitervirales|Megaviricetes|Nucleocytoviricota|Yasminvirus</t>
  </si>
  <si>
    <t>NCLDV__Imitervirales:39(86.67%),EUK__Zoopagomycetes:1(2.22%),EUK__Xanthophyceae:1(2.22%),EUK__Elardia:1(2.22%),BAC__Vampirovibrionia:1(2.22%),EUK__Eukaryota_X:1(2.22%),NCLDV__Pimascovirales:1(2.22%)</t>
  </si>
  <si>
    <t>clandest -|-|incertae_sedis|Pandoravirales|Megaviricetes|Nucleocytoviricota|Clandestinovirus isolate 575.419719</t>
  </si>
  <si>
    <t>NCLDV__Imitervirales:4(26.67%),NCLDV__Pimascovirales:2(13.33%),EUK__Eumycetozoa:2(13.33%),EUK__Flabellinia:1(6.67%),EUK__Chrysophyceae:1(6.67%),EUK__Mamiellophyceae:1(6.67%),EUK__Eukaryota_X:1(6.67%),EUK__Chlorophyta_X:1(6.67%),NCLDV__Pandoravirales:1(6.67%),NCLDV__Algavirales:1(6.67%)</t>
  </si>
  <si>
    <t>incertae_sedis</t>
  </si>
  <si>
    <t>GCA_000839765-1_ViralProj14114 -|g135|incertae_sedis|Pandoravirales|Megaviricetes|Nucleocytoviricota|Ectocarpus siliculosus virus 1 strain=EsV-1</t>
  </si>
  <si>
    <t>EUK__Phaeophyceae:7(100.00%)</t>
  </si>
  <si>
    <t>EUK__Phaeophyceae</t>
  </si>
  <si>
    <t>GCA_000874805-1_ViralProj31093 -|g134|incertae_sedis|Pandoravirales|Megaviricetes|Nucleocytoviricota|Feldmannia species virus FsV-158</t>
  </si>
  <si>
    <t>EUK__Phaeophyceae:3(75.00%),NCLDV__Pandoravirales:1(25.00%)</t>
  </si>
  <si>
    <t>GCA_003057795-1_ASM305779v1 -|g313|IM_12|Imitervirales|Megaviricetes|Nucleocytoviricota|Tetraselmis virus 1</t>
  </si>
  <si>
    <t>EUK__Chlorodendrophyceae:11(61.11%),NCLDV__Imitervirales:4(22.22%),BAC__UBA8468:1(5.56%),EUK__Oomycota_X:1(5.56%),BAC__Thermodesulfovibrionia:1(5.56%)</t>
  </si>
  <si>
    <t>EUK__Chlorodendrophyceae</t>
  </si>
  <si>
    <t xml:space="preserve">Isolate ID and Taxonomy </t>
  </si>
  <si>
    <t>GVClass Order Majority Taxonomy</t>
  </si>
  <si>
    <t xml:space="preserve">GVClass Order Taxonomy </t>
  </si>
  <si>
    <t>Isolate Order Taxonomy</t>
  </si>
  <si>
    <t>Isolate Family Taxonomy</t>
  </si>
  <si>
    <t>GVClass Taxomomy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</si>
</sst>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Fill="1" applyBorder="1"/>
    <xf numFmtId="0" fontId="0" fillId="0" borderId="1" xfId="0" applyFill="1" applyBorder="1"/>
    <xf numFmtId="49" fontId="0" fillId="0" borderId="1" xfId="0" applyNumberFormat="1" applyFill="1" applyBorder="1"/>
    <xf numFmtId="0" fontId="0" fillId="0" borderId="3" xfId="0" applyFill="1" applyBorder="1"/>
    <xf numFmtId="49" fontId="0" fillId="0" borderId="3" xfId="0" applyNumberFormat="1" applyFill="1" applyBorder="1"/>
  </cellXfs>
  <cellStyles count="1">
    <cellStyle name="Normal" xfId="0" builtinId="0"/>
  </cellStyles>
  <dxfs count="11"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58564-512C-4BFE-A744-EEAB208FFDC5}" name="Tableau1" displayName="Tableau1" ref="A1:F122" totalsRowShown="0" headerRowDxfId="2" dataDxfId="1" headerRowBorderDxfId="9" tableBorderDxfId="10" totalsRowBorderDxfId="8">
  <autoFilter ref="A1:F122" xr:uid="{6B958564-512C-4BFE-A744-EEAB208FFDC5}"/>
  <tableColumns count="6">
    <tableColumn id="1" xr3:uid="{EC30CA72-F279-4306-8312-ED6DF470F93D}" name="Isolate ID and Taxonomy " dataDxfId="7"/>
    <tableColumn id="2" xr3:uid="{F1F82523-A3DA-44E2-A18A-BBAB1EC567BF}" name="GVClass Order Taxonomy " dataDxfId="6"/>
    <tableColumn id="3" xr3:uid="{73DDE656-88A5-4F9F-AC85-95102CA94742}" name="GVClass Order Majority Taxonomy" dataDxfId="5"/>
    <tableColumn id="4" xr3:uid="{90498B71-AF34-44AC-89D2-DC211DA59AE9}" name="Isolate Order Taxonomy" dataDxfId="4"/>
    <tableColumn id="7" xr3:uid="{5E952F3E-EE5B-498A-9777-BA2CE6C8651F}" name="Isolate Family Taxonomy" dataDxfId="0"/>
    <tableColumn id="5" xr3:uid="{2D3DC46A-ADFF-4D78-96F5-3C0E0DFF045D}" name="GVClass Taxomomy Prediction" dataDxfId="3">
      <calculatedColumnFormula>IF(COUNTIF(C2,"*" &amp; D2 &amp; "*")&gt;0,"TRUE","FALSE")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F4F0-86C4-403F-B23F-DFF4A4A7484F}">
  <dimension ref="A1:F122"/>
  <sheetViews>
    <sheetView tabSelected="1" zoomScale="48" workbookViewId="0">
      <selection activeCell="H9" sqref="H9"/>
    </sheetView>
  </sheetViews>
  <sheetFormatPr baseColWidth="10" defaultRowHeight="14.5" x14ac:dyDescent="0.35"/>
  <cols>
    <col min="1" max="1" width="144.90625" bestFit="1" customWidth="1"/>
    <col min="2" max="2" width="76.54296875" customWidth="1"/>
    <col min="3" max="3" width="32.81640625" bestFit="1" customWidth="1"/>
    <col min="4" max="4" width="23.81640625" bestFit="1" customWidth="1"/>
    <col min="5" max="5" width="24.54296875" bestFit="1" customWidth="1"/>
    <col min="6" max="6" width="29.81640625" bestFit="1" customWidth="1"/>
  </cols>
  <sheetData>
    <row r="1" spans="1:6" x14ac:dyDescent="0.35">
      <c r="A1" s="1" t="s">
        <v>217</v>
      </c>
      <c r="B1" s="1" t="s">
        <v>219</v>
      </c>
      <c r="C1" s="1" t="s">
        <v>218</v>
      </c>
      <c r="D1" s="1" t="s">
        <v>220</v>
      </c>
      <c r="E1" s="1" t="s">
        <v>221</v>
      </c>
      <c r="F1" s="1" t="s">
        <v>222</v>
      </c>
    </row>
    <row r="2" spans="1:6" x14ac:dyDescent="0.3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tr">
        <f>IF(COUNTIF(C2,"*" &amp; D2 &amp; "*")&gt;0,"TRUE","FALSE")</f>
        <v>TRUE</v>
      </c>
    </row>
    <row r="3" spans="1:6" x14ac:dyDescent="0.35">
      <c r="A3" s="2" t="s">
        <v>5</v>
      </c>
      <c r="B3" s="3" t="s">
        <v>6</v>
      </c>
      <c r="C3" s="2" t="s">
        <v>7</v>
      </c>
      <c r="D3" s="2" t="s">
        <v>8</v>
      </c>
      <c r="E3" s="2" t="s">
        <v>9</v>
      </c>
      <c r="F3" s="2" t="str">
        <f>IF(COUNTIF(C3,"*" &amp; D3 &amp; "*")&gt;0,"TRUE","FALSE")</f>
        <v>TRUE</v>
      </c>
    </row>
    <row r="4" spans="1:6" x14ac:dyDescent="0.35">
      <c r="A4" s="2" t="s">
        <v>10</v>
      </c>
      <c r="B4" s="3" t="s">
        <v>11</v>
      </c>
      <c r="C4" s="2" t="s">
        <v>12</v>
      </c>
      <c r="D4" s="2" t="s">
        <v>13</v>
      </c>
      <c r="E4" s="2" t="s">
        <v>14</v>
      </c>
      <c r="F4" s="2" t="str">
        <f>IF(COUNTIF(C4,"*" &amp; D4 &amp; "*")&gt;0,"TRUE","FALSE")</f>
        <v>TRUE</v>
      </c>
    </row>
    <row r="5" spans="1:6" x14ac:dyDescent="0.35">
      <c r="A5" s="2" t="s">
        <v>15</v>
      </c>
      <c r="B5" s="3" t="s">
        <v>11</v>
      </c>
      <c r="C5" s="2" t="s">
        <v>12</v>
      </c>
      <c r="D5" s="2" t="s">
        <v>13</v>
      </c>
      <c r="E5" s="2" t="s">
        <v>14</v>
      </c>
      <c r="F5" s="2" t="str">
        <f>IF(COUNTIF(C5,"*" &amp; D5 &amp; "*")&gt;0,"TRUE","FALSE")</f>
        <v>TRUE</v>
      </c>
    </row>
    <row r="6" spans="1:6" x14ac:dyDescent="0.35">
      <c r="A6" s="2" t="s">
        <v>16</v>
      </c>
      <c r="B6" s="3" t="s">
        <v>11</v>
      </c>
      <c r="C6" s="2" t="s">
        <v>12</v>
      </c>
      <c r="D6" s="2" t="s">
        <v>13</v>
      </c>
      <c r="E6" s="2" t="s">
        <v>14</v>
      </c>
      <c r="F6" s="2" t="str">
        <f>IF(COUNTIF(C6,"*" &amp; D6 &amp; "*")&gt;0,"TRUE","FALSE")</f>
        <v>TRUE</v>
      </c>
    </row>
    <row r="7" spans="1:6" x14ac:dyDescent="0.35">
      <c r="A7" s="2" t="s">
        <v>17</v>
      </c>
      <c r="B7" s="3" t="s">
        <v>18</v>
      </c>
      <c r="C7" s="2" t="s">
        <v>7</v>
      </c>
      <c r="D7" s="2" t="s">
        <v>8</v>
      </c>
      <c r="E7" s="2" t="s">
        <v>19</v>
      </c>
      <c r="F7" s="2" t="str">
        <f>IF(COUNTIF(C7,"*" &amp; D7 &amp; "*")&gt;0,"TRUE","FALSE")</f>
        <v>TRUE</v>
      </c>
    </row>
    <row r="8" spans="1:6" x14ac:dyDescent="0.35">
      <c r="A8" s="2" t="s">
        <v>20</v>
      </c>
      <c r="B8" s="3" t="s">
        <v>11</v>
      </c>
      <c r="C8" s="2" t="s">
        <v>12</v>
      </c>
      <c r="D8" s="2" t="s">
        <v>13</v>
      </c>
      <c r="E8" s="2" t="s">
        <v>14</v>
      </c>
      <c r="F8" s="2" t="str">
        <f>IF(COUNTIF(C8,"*" &amp; D8 &amp; "*")&gt;0,"TRUE","FALSE")</f>
        <v>TRUE</v>
      </c>
    </row>
    <row r="9" spans="1:6" x14ac:dyDescent="0.35">
      <c r="A9" s="2" t="s">
        <v>21</v>
      </c>
      <c r="B9" s="3" t="s">
        <v>22</v>
      </c>
      <c r="C9" s="2" t="s">
        <v>12</v>
      </c>
      <c r="D9" s="2" t="s">
        <v>13</v>
      </c>
      <c r="E9" s="2" t="s">
        <v>14</v>
      </c>
      <c r="F9" s="2" t="str">
        <f>IF(COUNTIF(C9,"*" &amp; D9 &amp; "*")&gt;0,"TRUE","FALSE")</f>
        <v>TRUE</v>
      </c>
    </row>
    <row r="10" spans="1:6" x14ac:dyDescent="0.35">
      <c r="A10" s="2" t="s">
        <v>23</v>
      </c>
      <c r="B10" s="3" t="s">
        <v>24</v>
      </c>
      <c r="C10" s="2" t="s">
        <v>7</v>
      </c>
      <c r="D10" s="2" t="s">
        <v>8</v>
      </c>
      <c r="E10" s="2" t="s">
        <v>25</v>
      </c>
      <c r="F10" s="2" t="str">
        <f>IF(COUNTIF(C10,"*" &amp; D10 &amp; "*")&gt;0,"TRUE","FALSE")</f>
        <v>TRUE</v>
      </c>
    </row>
    <row r="11" spans="1:6" x14ac:dyDescent="0.35">
      <c r="A11" s="2" t="s">
        <v>26</v>
      </c>
      <c r="B11" s="3" t="s">
        <v>27</v>
      </c>
      <c r="C11" s="2" t="s">
        <v>12</v>
      </c>
      <c r="D11" s="2" t="s">
        <v>13</v>
      </c>
      <c r="E11" s="2" t="s">
        <v>14</v>
      </c>
      <c r="F11" s="2" t="str">
        <f>IF(COUNTIF(C11,"*" &amp; D11 &amp; "*")&gt;0,"TRUE","FALSE")</f>
        <v>TRUE</v>
      </c>
    </row>
    <row r="12" spans="1:6" x14ac:dyDescent="0.35">
      <c r="A12" s="2" t="s">
        <v>28</v>
      </c>
      <c r="B12" s="3" t="s">
        <v>27</v>
      </c>
      <c r="C12" s="2" t="s">
        <v>12</v>
      </c>
      <c r="D12" s="2" t="s">
        <v>13</v>
      </c>
      <c r="E12" s="2" t="s">
        <v>14</v>
      </c>
      <c r="F12" s="2" t="str">
        <f>IF(COUNTIF(C12,"*" &amp; D12 &amp; "*")&gt;0,"TRUE","FALSE")</f>
        <v>TRUE</v>
      </c>
    </row>
    <row r="13" spans="1:6" x14ac:dyDescent="0.35">
      <c r="A13" s="2" t="s">
        <v>29</v>
      </c>
      <c r="B13" s="3" t="s">
        <v>27</v>
      </c>
      <c r="C13" s="2" t="s">
        <v>12</v>
      </c>
      <c r="D13" s="2" t="s">
        <v>13</v>
      </c>
      <c r="E13" s="2" t="s">
        <v>14</v>
      </c>
      <c r="F13" s="2" t="str">
        <f>IF(COUNTIF(C13,"*" &amp; D13 &amp; "*")&gt;0,"TRUE","FALSE")</f>
        <v>TRUE</v>
      </c>
    </row>
    <row r="14" spans="1:6" x14ac:dyDescent="0.35">
      <c r="A14" s="2" t="s">
        <v>30</v>
      </c>
      <c r="B14" s="3" t="s">
        <v>31</v>
      </c>
      <c r="C14" s="2" t="s">
        <v>12</v>
      </c>
      <c r="D14" s="2" t="s">
        <v>13</v>
      </c>
      <c r="E14" s="2" t="s">
        <v>14</v>
      </c>
      <c r="F14" s="2" t="str">
        <f>IF(COUNTIF(C14,"*" &amp; D14 &amp; "*")&gt;0,"TRUE","FALSE")</f>
        <v>TRUE</v>
      </c>
    </row>
    <row r="15" spans="1:6" x14ac:dyDescent="0.35">
      <c r="A15" s="2" t="s">
        <v>32</v>
      </c>
      <c r="B15" s="3" t="s">
        <v>31</v>
      </c>
      <c r="C15" s="2" t="s">
        <v>12</v>
      </c>
      <c r="D15" s="2" t="s">
        <v>13</v>
      </c>
      <c r="E15" s="2" t="s">
        <v>14</v>
      </c>
      <c r="F15" s="2" t="str">
        <f>IF(COUNTIF(C15,"*" &amp; D15 &amp; "*")&gt;0,"TRUE","FALSE")</f>
        <v>TRUE</v>
      </c>
    </row>
    <row r="16" spans="1:6" x14ac:dyDescent="0.35">
      <c r="A16" s="2" t="s">
        <v>33</v>
      </c>
      <c r="B16" s="3" t="s">
        <v>11</v>
      </c>
      <c r="C16" s="2" t="s">
        <v>12</v>
      </c>
      <c r="D16" s="2" t="s">
        <v>13</v>
      </c>
      <c r="E16" s="2" t="s">
        <v>14</v>
      </c>
      <c r="F16" s="2" t="str">
        <f>IF(COUNTIF(C16,"*" &amp; D16 &amp; "*")&gt;0,"TRUE","FALSE")</f>
        <v>TRUE</v>
      </c>
    </row>
    <row r="17" spans="1:6" x14ac:dyDescent="0.35">
      <c r="A17" s="2" t="s">
        <v>34</v>
      </c>
      <c r="B17" s="3" t="s">
        <v>35</v>
      </c>
      <c r="C17" s="2" t="s">
        <v>7</v>
      </c>
      <c r="D17" s="2" t="s">
        <v>8</v>
      </c>
      <c r="E17" s="2" t="s">
        <v>25</v>
      </c>
      <c r="F17" s="2" t="str">
        <f>IF(COUNTIF(C17,"*" &amp; D17 &amp; "*")&gt;0,"TRUE","FALSE")</f>
        <v>TRUE</v>
      </c>
    </row>
    <row r="18" spans="1:6" x14ac:dyDescent="0.35">
      <c r="A18" s="2" t="s">
        <v>36</v>
      </c>
      <c r="B18" s="3" t="s">
        <v>37</v>
      </c>
      <c r="C18" s="2" t="s">
        <v>38</v>
      </c>
      <c r="D18" s="2" t="s">
        <v>39</v>
      </c>
      <c r="E18" s="2" t="s">
        <v>40</v>
      </c>
      <c r="F18" s="2" t="str">
        <f>IF(COUNTIF(C18,"*" &amp; D18 &amp; "*")&gt;0,"TRUE","FALSE")</f>
        <v>TRUE</v>
      </c>
    </row>
    <row r="19" spans="1:6" x14ac:dyDescent="0.35">
      <c r="A19" s="2" t="s">
        <v>41</v>
      </c>
      <c r="B19" s="3" t="s">
        <v>11</v>
      </c>
      <c r="C19" s="2" t="s">
        <v>12</v>
      </c>
      <c r="D19" s="2" t="s">
        <v>13</v>
      </c>
      <c r="E19" s="2" t="s">
        <v>14</v>
      </c>
      <c r="F19" s="2" t="str">
        <f>IF(COUNTIF(C19,"*" &amp; D19 &amp; "*")&gt;0,"TRUE","FALSE")</f>
        <v>TRUE</v>
      </c>
    </row>
    <row r="20" spans="1:6" x14ac:dyDescent="0.35">
      <c r="A20" s="2" t="s">
        <v>42</v>
      </c>
      <c r="B20" s="3" t="s">
        <v>27</v>
      </c>
      <c r="C20" s="2" t="s">
        <v>12</v>
      </c>
      <c r="D20" s="2" t="s">
        <v>13</v>
      </c>
      <c r="E20" s="2" t="s">
        <v>14</v>
      </c>
      <c r="F20" s="2" t="str">
        <f>IF(COUNTIF(C20,"*" &amp; D20 &amp; "*")&gt;0,"TRUE","FALSE")</f>
        <v>TRUE</v>
      </c>
    </row>
    <row r="21" spans="1:6" x14ac:dyDescent="0.35">
      <c r="A21" s="2" t="s">
        <v>43</v>
      </c>
      <c r="B21" s="3" t="s">
        <v>44</v>
      </c>
      <c r="C21" s="2" t="s">
        <v>7</v>
      </c>
      <c r="D21" s="2" t="s">
        <v>8</v>
      </c>
      <c r="E21" s="2" t="s">
        <v>19</v>
      </c>
      <c r="F21" s="2" t="str">
        <f>IF(COUNTIF(C21,"*" &amp; D21 &amp; "*")&gt;0,"TRUE","FALSE")</f>
        <v>TRUE</v>
      </c>
    </row>
    <row r="22" spans="1:6" x14ac:dyDescent="0.35">
      <c r="A22" s="2" t="s">
        <v>45</v>
      </c>
      <c r="B22" s="3" t="s">
        <v>46</v>
      </c>
      <c r="C22" s="2" t="s">
        <v>38</v>
      </c>
      <c r="D22" s="2" t="s">
        <v>39</v>
      </c>
      <c r="E22" s="2" t="s">
        <v>40</v>
      </c>
      <c r="F22" s="2" t="str">
        <f>IF(COUNTIF(C22,"*" &amp; D22 &amp; "*")&gt;0,"TRUE","FALSE")</f>
        <v>TRUE</v>
      </c>
    </row>
    <row r="23" spans="1:6" x14ac:dyDescent="0.35">
      <c r="A23" s="2" t="s">
        <v>47</v>
      </c>
      <c r="B23" s="3" t="s">
        <v>48</v>
      </c>
      <c r="C23" s="2" t="s">
        <v>12</v>
      </c>
      <c r="D23" s="2" t="s">
        <v>13</v>
      </c>
      <c r="E23" s="2" t="s">
        <v>14</v>
      </c>
      <c r="F23" s="2" t="str">
        <f>IF(COUNTIF(C23,"*" &amp; D23 &amp; "*")&gt;0,"TRUE","FALSE")</f>
        <v>TRUE</v>
      </c>
    </row>
    <row r="24" spans="1:6" x14ac:dyDescent="0.35">
      <c r="A24" s="2" t="s">
        <v>49</v>
      </c>
      <c r="B24" s="3" t="s">
        <v>50</v>
      </c>
      <c r="C24" s="2" t="s">
        <v>7</v>
      </c>
      <c r="D24" s="2" t="s">
        <v>8</v>
      </c>
      <c r="E24" s="2" t="s">
        <v>19</v>
      </c>
      <c r="F24" s="2" t="str">
        <f>IF(COUNTIF(C24,"*" &amp; D24 &amp; "*")&gt;0,"TRUE","FALSE")</f>
        <v>TRUE</v>
      </c>
    </row>
    <row r="25" spans="1:6" x14ac:dyDescent="0.35">
      <c r="A25" s="2" t="s">
        <v>51</v>
      </c>
      <c r="B25" s="3" t="s">
        <v>52</v>
      </c>
      <c r="C25" s="2" t="s">
        <v>38</v>
      </c>
      <c r="D25" s="2" t="s">
        <v>39</v>
      </c>
      <c r="E25" s="2" t="s">
        <v>40</v>
      </c>
      <c r="F25" s="2" t="str">
        <f>IF(COUNTIF(C25,"*" &amp; D25 &amp; "*")&gt;0,"TRUE","FALSE")</f>
        <v>TRUE</v>
      </c>
    </row>
    <row r="26" spans="1:6" x14ac:dyDescent="0.35">
      <c r="A26" s="2" t="s">
        <v>53</v>
      </c>
      <c r="B26" s="3" t="s">
        <v>54</v>
      </c>
      <c r="C26" s="2" t="s">
        <v>38</v>
      </c>
      <c r="D26" s="2" t="s">
        <v>39</v>
      </c>
      <c r="E26" s="2" t="s">
        <v>40</v>
      </c>
      <c r="F26" s="2" t="str">
        <f>IF(COUNTIF(C26,"*" &amp; D26 &amp; "*")&gt;0,"TRUE","FALSE")</f>
        <v>TRUE</v>
      </c>
    </row>
    <row r="27" spans="1:6" x14ac:dyDescent="0.35">
      <c r="A27" s="2" t="s">
        <v>55</v>
      </c>
      <c r="B27" s="3" t="s">
        <v>56</v>
      </c>
      <c r="C27" s="2" t="s">
        <v>7</v>
      </c>
      <c r="D27" s="2" t="s">
        <v>8</v>
      </c>
      <c r="E27" s="2" t="s">
        <v>19</v>
      </c>
      <c r="F27" s="2" t="str">
        <f>IF(COUNTIF(C27,"*" &amp; D27 &amp; "*")&gt;0,"TRUE","FALSE")</f>
        <v>TRUE</v>
      </c>
    </row>
    <row r="28" spans="1:6" x14ac:dyDescent="0.35">
      <c r="A28" s="2" t="s">
        <v>57</v>
      </c>
      <c r="B28" s="3" t="s">
        <v>31</v>
      </c>
      <c r="C28" s="2" t="s">
        <v>12</v>
      </c>
      <c r="D28" s="2" t="s">
        <v>13</v>
      </c>
      <c r="E28" s="2" t="s">
        <v>14</v>
      </c>
      <c r="F28" s="2" t="str">
        <f>IF(COUNTIF(C28,"*" &amp; D28 &amp; "*")&gt;0,"TRUE","FALSE")</f>
        <v>TRUE</v>
      </c>
    </row>
    <row r="29" spans="1:6" x14ac:dyDescent="0.35">
      <c r="A29" s="2" t="s">
        <v>58</v>
      </c>
      <c r="B29" s="3" t="s">
        <v>59</v>
      </c>
      <c r="C29" s="2" t="s">
        <v>60</v>
      </c>
      <c r="D29" s="2" t="s">
        <v>61</v>
      </c>
      <c r="E29" s="2" t="s">
        <v>62</v>
      </c>
      <c r="F29" s="2" t="str">
        <f>IF(COUNTIF(C29,"*" &amp; D29 &amp; "*")&gt;0,"TRUE","FALSE")</f>
        <v>TRUE</v>
      </c>
    </row>
    <row r="30" spans="1:6" x14ac:dyDescent="0.35">
      <c r="A30" s="2" t="s">
        <v>63</v>
      </c>
      <c r="B30" s="3" t="s">
        <v>64</v>
      </c>
      <c r="C30" s="2" t="s">
        <v>38</v>
      </c>
      <c r="D30" s="2" t="s">
        <v>39</v>
      </c>
      <c r="E30" s="2" t="s">
        <v>65</v>
      </c>
      <c r="F30" s="2" t="str">
        <f>IF(COUNTIF(C30,"*" &amp; D30 &amp; "*")&gt;0,"TRUE","FALSE")</f>
        <v>TRUE</v>
      </c>
    </row>
    <row r="31" spans="1:6" x14ac:dyDescent="0.35">
      <c r="A31" s="2" t="s">
        <v>66</v>
      </c>
      <c r="B31" s="3" t="s">
        <v>52</v>
      </c>
      <c r="C31" s="2" t="s">
        <v>38</v>
      </c>
      <c r="D31" s="2" t="s">
        <v>39</v>
      </c>
      <c r="E31" s="2" t="s">
        <v>65</v>
      </c>
      <c r="F31" s="2" t="str">
        <f>IF(COUNTIF(C31,"*" &amp; D31 &amp; "*")&gt;0,"TRUE","FALSE")</f>
        <v>TRUE</v>
      </c>
    </row>
    <row r="32" spans="1:6" x14ac:dyDescent="0.35">
      <c r="A32" s="2" t="s">
        <v>67</v>
      </c>
      <c r="B32" s="3" t="s">
        <v>50</v>
      </c>
      <c r="C32" s="2" t="s">
        <v>7</v>
      </c>
      <c r="D32" s="2" t="s">
        <v>8</v>
      </c>
      <c r="E32" s="2" t="s">
        <v>19</v>
      </c>
      <c r="F32" s="2" t="str">
        <f>IF(COUNTIF(C32,"*" &amp; D32 &amp; "*")&gt;0,"TRUE","FALSE")</f>
        <v>TRUE</v>
      </c>
    </row>
    <row r="33" spans="1:6" x14ac:dyDescent="0.35">
      <c r="A33" s="2" t="s">
        <v>68</v>
      </c>
      <c r="B33" s="3" t="s">
        <v>27</v>
      </c>
      <c r="C33" s="2" t="s">
        <v>12</v>
      </c>
      <c r="D33" s="2" t="s">
        <v>13</v>
      </c>
      <c r="E33" s="2" t="s">
        <v>14</v>
      </c>
      <c r="F33" s="2" t="str">
        <f>IF(COUNTIF(C33,"*" &amp; D33 &amp; "*")&gt;0,"TRUE","FALSE")</f>
        <v>TRUE</v>
      </c>
    </row>
    <row r="34" spans="1:6" x14ac:dyDescent="0.35">
      <c r="A34" s="2" t="s">
        <v>69</v>
      </c>
      <c r="B34" s="3" t="s">
        <v>70</v>
      </c>
      <c r="C34" s="2" t="s">
        <v>60</v>
      </c>
      <c r="D34" s="2" t="s">
        <v>61</v>
      </c>
      <c r="E34" s="2" t="s">
        <v>62</v>
      </c>
      <c r="F34" s="2" t="str">
        <f>IF(COUNTIF(C34,"*" &amp; D34 &amp; "*")&gt;0,"TRUE","FALSE")</f>
        <v>TRUE</v>
      </c>
    </row>
    <row r="35" spans="1:6" x14ac:dyDescent="0.35">
      <c r="A35" s="2" t="s">
        <v>71</v>
      </c>
      <c r="B35" s="3" t="s">
        <v>72</v>
      </c>
      <c r="C35" s="2" t="s">
        <v>38</v>
      </c>
      <c r="D35" s="2" t="s">
        <v>39</v>
      </c>
      <c r="E35" s="2" t="s">
        <v>65</v>
      </c>
      <c r="F35" s="2" t="str">
        <f>IF(COUNTIF(C35,"*" &amp; D35 &amp; "*")&gt;0,"TRUE","FALSE")</f>
        <v>TRUE</v>
      </c>
    </row>
    <row r="36" spans="1:6" x14ac:dyDescent="0.35">
      <c r="A36" s="2" t="s">
        <v>73</v>
      </c>
      <c r="B36" s="3" t="s">
        <v>74</v>
      </c>
      <c r="C36" s="2" t="s">
        <v>75</v>
      </c>
      <c r="D36" s="2" t="s">
        <v>76</v>
      </c>
      <c r="E36" s="2" t="s">
        <v>77</v>
      </c>
      <c r="F36" s="2" t="str">
        <f>IF(COUNTIF(C36,"*" &amp; D36 &amp; "*")&gt;0,"TRUE","FALSE")</f>
        <v>TRUE</v>
      </c>
    </row>
    <row r="37" spans="1:6" x14ac:dyDescent="0.35">
      <c r="A37" s="2" t="s">
        <v>78</v>
      </c>
      <c r="B37" s="3" t="s">
        <v>79</v>
      </c>
      <c r="C37" s="2" t="s">
        <v>75</v>
      </c>
      <c r="D37" s="2" t="s">
        <v>76</v>
      </c>
      <c r="E37" s="2" t="s">
        <v>77</v>
      </c>
      <c r="F37" s="2" t="str">
        <f>IF(COUNTIF(C37,"*" &amp; D37 &amp; "*")&gt;0,"TRUE","FALSE")</f>
        <v>TRUE</v>
      </c>
    </row>
    <row r="38" spans="1:6" x14ac:dyDescent="0.35">
      <c r="A38" s="2" t="s">
        <v>80</v>
      </c>
      <c r="B38" s="3" t="s">
        <v>27</v>
      </c>
      <c r="C38" s="2" t="s">
        <v>12</v>
      </c>
      <c r="D38" s="2" t="s">
        <v>13</v>
      </c>
      <c r="E38" s="2" t="s">
        <v>14</v>
      </c>
      <c r="F38" s="2" t="str">
        <f>IF(COUNTIF(C38,"*" &amp; D38 &amp; "*")&gt;0,"TRUE","FALSE")</f>
        <v>TRUE</v>
      </c>
    </row>
    <row r="39" spans="1:6" x14ac:dyDescent="0.35">
      <c r="A39" s="2" t="s">
        <v>81</v>
      </c>
      <c r="B39" s="3" t="s">
        <v>50</v>
      </c>
      <c r="C39" s="2" t="s">
        <v>7</v>
      </c>
      <c r="D39" s="2" t="s">
        <v>8</v>
      </c>
      <c r="E39" s="2" t="s">
        <v>19</v>
      </c>
      <c r="F39" s="2" t="str">
        <f>IF(COUNTIF(C39,"*" &amp; D39 &amp; "*")&gt;0,"TRUE","FALSE")</f>
        <v>TRUE</v>
      </c>
    </row>
    <row r="40" spans="1:6" x14ac:dyDescent="0.35">
      <c r="A40" s="2" t="s">
        <v>82</v>
      </c>
      <c r="B40" s="3" t="s">
        <v>83</v>
      </c>
      <c r="C40" s="2" t="s">
        <v>7</v>
      </c>
      <c r="D40" s="2" t="s">
        <v>8</v>
      </c>
      <c r="E40" s="2" t="s">
        <v>84</v>
      </c>
      <c r="F40" s="2" t="str">
        <f>IF(COUNTIF(C40,"*" &amp; D40 &amp; "*")&gt;0,"TRUE","FALSE")</f>
        <v>TRUE</v>
      </c>
    </row>
    <row r="41" spans="1:6" x14ac:dyDescent="0.35">
      <c r="A41" s="2" t="s">
        <v>85</v>
      </c>
      <c r="B41" s="3" t="s">
        <v>83</v>
      </c>
      <c r="C41" s="2" t="s">
        <v>7</v>
      </c>
      <c r="D41" s="2" t="s">
        <v>8</v>
      </c>
      <c r="E41" s="2" t="s">
        <v>19</v>
      </c>
      <c r="F41" s="2" t="str">
        <f>IF(COUNTIF(C41,"*" &amp; D41 &amp; "*")&gt;0,"TRUE","FALSE")</f>
        <v>TRUE</v>
      </c>
    </row>
    <row r="42" spans="1:6" x14ac:dyDescent="0.35">
      <c r="A42" s="2" t="s">
        <v>86</v>
      </c>
      <c r="B42" s="3" t="s">
        <v>87</v>
      </c>
      <c r="C42" s="2" t="s">
        <v>60</v>
      </c>
      <c r="D42" s="2" t="s">
        <v>61</v>
      </c>
      <c r="E42" s="2" t="s">
        <v>88</v>
      </c>
      <c r="F42" s="2" t="str">
        <f>IF(COUNTIF(C42,"*" &amp; D42 &amp; "*")&gt;0,"TRUE","FALSE")</f>
        <v>TRUE</v>
      </c>
    </row>
    <row r="43" spans="1:6" x14ac:dyDescent="0.35">
      <c r="A43" s="2" t="s">
        <v>89</v>
      </c>
      <c r="B43" s="3" t="s">
        <v>11</v>
      </c>
      <c r="C43" s="2" t="s">
        <v>12</v>
      </c>
      <c r="D43" s="2" t="s">
        <v>13</v>
      </c>
      <c r="E43" s="2" t="s">
        <v>14</v>
      </c>
      <c r="F43" s="2" t="str">
        <f>IF(COUNTIF(C43,"*" &amp; D43 &amp; "*")&gt;0,"TRUE","FALSE")</f>
        <v>TRUE</v>
      </c>
    </row>
    <row r="44" spans="1:6" x14ac:dyDescent="0.35">
      <c r="A44" s="2" t="s">
        <v>90</v>
      </c>
      <c r="B44" s="3" t="s">
        <v>91</v>
      </c>
      <c r="C44" s="2" t="s">
        <v>7</v>
      </c>
      <c r="D44" s="2" t="s">
        <v>8</v>
      </c>
      <c r="E44" s="2" t="s">
        <v>19</v>
      </c>
      <c r="F44" s="2" t="str">
        <f>IF(COUNTIF(C44,"*" &amp; D44 &amp; "*")&gt;0,"TRUE","FALSE")</f>
        <v>TRUE</v>
      </c>
    </row>
    <row r="45" spans="1:6" x14ac:dyDescent="0.35">
      <c r="A45" s="2" t="s">
        <v>92</v>
      </c>
      <c r="B45" s="3" t="s">
        <v>93</v>
      </c>
      <c r="C45" s="2" t="s">
        <v>75</v>
      </c>
      <c r="D45" s="2" t="s">
        <v>76</v>
      </c>
      <c r="E45" s="2" t="s">
        <v>77</v>
      </c>
      <c r="F45" s="2" t="str">
        <f>IF(COUNTIF(C45,"*" &amp; D45 &amp; "*")&gt;0,"TRUE","FALSE")</f>
        <v>TRUE</v>
      </c>
    </row>
    <row r="46" spans="1:6" x14ac:dyDescent="0.35">
      <c r="A46" s="2" t="s">
        <v>94</v>
      </c>
      <c r="B46" s="3" t="s">
        <v>31</v>
      </c>
      <c r="C46" s="2" t="s">
        <v>12</v>
      </c>
      <c r="D46" s="2" t="s">
        <v>13</v>
      </c>
      <c r="E46" s="2" t="s">
        <v>14</v>
      </c>
      <c r="F46" s="2" t="str">
        <f>IF(COUNTIF(C46,"*" &amp; D46 &amp; "*")&gt;0,"TRUE","FALSE")</f>
        <v>TRUE</v>
      </c>
    </row>
    <row r="47" spans="1:6" x14ac:dyDescent="0.35">
      <c r="A47" s="2" t="s">
        <v>95</v>
      </c>
      <c r="B47" s="3" t="s">
        <v>31</v>
      </c>
      <c r="C47" s="2" t="s">
        <v>12</v>
      </c>
      <c r="D47" s="2" t="s">
        <v>13</v>
      </c>
      <c r="E47" s="2" t="s">
        <v>14</v>
      </c>
      <c r="F47" s="2" t="str">
        <f>IF(COUNTIF(C47,"*" &amp; D47 &amp; "*")&gt;0,"TRUE","FALSE")</f>
        <v>TRUE</v>
      </c>
    </row>
    <row r="48" spans="1:6" x14ac:dyDescent="0.35">
      <c r="A48" s="2" t="s">
        <v>96</v>
      </c>
      <c r="B48" s="3" t="s">
        <v>97</v>
      </c>
      <c r="C48" s="2" t="s">
        <v>12</v>
      </c>
      <c r="D48" s="2" t="s">
        <v>13</v>
      </c>
      <c r="E48" s="2" t="s">
        <v>14</v>
      </c>
      <c r="F48" s="2" t="str">
        <f>IF(COUNTIF(C48,"*" &amp; D48 &amp; "*")&gt;0,"TRUE","FALSE")</f>
        <v>TRUE</v>
      </c>
    </row>
    <row r="49" spans="1:6" x14ac:dyDescent="0.35">
      <c r="A49" s="2" t="s">
        <v>98</v>
      </c>
      <c r="B49" s="3" t="s">
        <v>99</v>
      </c>
      <c r="C49" s="2" t="s">
        <v>75</v>
      </c>
      <c r="D49" s="2" t="s">
        <v>76</v>
      </c>
      <c r="E49" s="2" t="s">
        <v>77</v>
      </c>
      <c r="F49" s="2" t="str">
        <f>IF(COUNTIF(C49,"*" &amp; D49 &amp; "*")&gt;0,"TRUE","FALSE")</f>
        <v>TRUE</v>
      </c>
    </row>
    <row r="50" spans="1:6" x14ac:dyDescent="0.35">
      <c r="A50" s="2" t="s">
        <v>100</v>
      </c>
      <c r="B50" s="3" t="s">
        <v>101</v>
      </c>
      <c r="C50" s="2" t="s">
        <v>60</v>
      </c>
      <c r="D50" s="2" t="s">
        <v>61</v>
      </c>
      <c r="E50" s="2" t="s">
        <v>102</v>
      </c>
      <c r="F50" s="2" t="str">
        <f>IF(COUNTIF(C50,"*" &amp; D50 &amp; "*")&gt;0,"TRUE","FALSE")</f>
        <v>TRUE</v>
      </c>
    </row>
    <row r="51" spans="1:6" x14ac:dyDescent="0.35">
      <c r="A51" s="2" t="s">
        <v>103</v>
      </c>
      <c r="B51" s="3" t="s">
        <v>104</v>
      </c>
      <c r="C51" s="2" t="s">
        <v>38</v>
      </c>
      <c r="D51" s="2" t="s">
        <v>39</v>
      </c>
      <c r="E51" s="2" t="s">
        <v>65</v>
      </c>
      <c r="F51" s="2" t="str">
        <f>IF(COUNTIF(C51,"*" &amp; D51 &amp; "*")&gt;0,"TRUE","FALSE")</f>
        <v>TRUE</v>
      </c>
    </row>
    <row r="52" spans="1:6" x14ac:dyDescent="0.35">
      <c r="A52" s="2" t="s">
        <v>105</v>
      </c>
      <c r="B52" s="3" t="s">
        <v>46</v>
      </c>
      <c r="C52" s="2" t="s">
        <v>38</v>
      </c>
      <c r="D52" s="2" t="s">
        <v>39</v>
      </c>
      <c r="E52" s="2" t="s">
        <v>65</v>
      </c>
      <c r="F52" s="2" t="str">
        <f>IF(COUNTIF(C52,"*" &amp; D52 &amp; "*")&gt;0,"TRUE","FALSE")</f>
        <v>TRUE</v>
      </c>
    </row>
    <row r="53" spans="1:6" x14ac:dyDescent="0.35">
      <c r="A53" s="2" t="s">
        <v>106</v>
      </c>
      <c r="B53" s="3" t="s">
        <v>64</v>
      </c>
      <c r="C53" s="2" t="s">
        <v>38</v>
      </c>
      <c r="D53" s="2" t="s">
        <v>39</v>
      </c>
      <c r="E53" s="2" t="s">
        <v>65</v>
      </c>
      <c r="F53" s="2" t="str">
        <f>IF(COUNTIF(C53,"*" &amp; D53 &amp; "*")&gt;0,"TRUE","FALSE")</f>
        <v>TRUE</v>
      </c>
    </row>
    <row r="54" spans="1:6" x14ac:dyDescent="0.35">
      <c r="A54" s="2" t="s">
        <v>107</v>
      </c>
      <c r="B54" s="3" t="s">
        <v>64</v>
      </c>
      <c r="C54" s="2" t="s">
        <v>38</v>
      </c>
      <c r="D54" s="2" t="s">
        <v>39</v>
      </c>
      <c r="E54" s="2" t="s">
        <v>65</v>
      </c>
      <c r="F54" s="2" t="str">
        <f>IF(COUNTIF(C54,"*" &amp; D54 &amp; "*")&gt;0,"TRUE","FALSE")</f>
        <v>TRUE</v>
      </c>
    </row>
    <row r="55" spans="1:6" x14ac:dyDescent="0.35">
      <c r="A55" s="2" t="s">
        <v>108</v>
      </c>
      <c r="B55" s="3" t="s">
        <v>27</v>
      </c>
      <c r="C55" s="2" t="s">
        <v>12</v>
      </c>
      <c r="D55" s="2" t="s">
        <v>13</v>
      </c>
      <c r="E55" s="2" t="s">
        <v>14</v>
      </c>
      <c r="F55" s="2" t="str">
        <f>IF(COUNTIF(C55,"*" &amp; D55 &amp; "*")&gt;0,"TRUE","FALSE")</f>
        <v>TRUE</v>
      </c>
    </row>
    <row r="56" spans="1:6" x14ac:dyDescent="0.35">
      <c r="A56" s="2" t="s">
        <v>109</v>
      </c>
      <c r="B56" s="3" t="s">
        <v>110</v>
      </c>
      <c r="C56" s="2" t="s">
        <v>7</v>
      </c>
      <c r="D56" s="2" t="s">
        <v>8</v>
      </c>
      <c r="E56" s="2" t="s">
        <v>111</v>
      </c>
      <c r="F56" s="2" t="str">
        <f>IF(COUNTIF(C56,"*" &amp; D56 &amp; "*")&gt;0,"TRUE","FALSE")</f>
        <v>TRUE</v>
      </c>
    </row>
    <row r="57" spans="1:6" x14ac:dyDescent="0.35">
      <c r="A57" s="2" t="s">
        <v>112</v>
      </c>
      <c r="B57" s="3" t="s">
        <v>18</v>
      </c>
      <c r="C57" s="2" t="s">
        <v>7</v>
      </c>
      <c r="D57" s="2" t="s">
        <v>8</v>
      </c>
      <c r="E57" s="2" t="s">
        <v>111</v>
      </c>
      <c r="F57" s="2" t="str">
        <f>IF(COUNTIF(C57,"*" &amp; D57 &amp; "*")&gt;0,"TRUE","FALSE")</f>
        <v>TRUE</v>
      </c>
    </row>
    <row r="58" spans="1:6" x14ac:dyDescent="0.35">
      <c r="A58" s="2" t="s">
        <v>113</v>
      </c>
      <c r="B58" s="3" t="s">
        <v>27</v>
      </c>
      <c r="C58" s="2" t="s">
        <v>12</v>
      </c>
      <c r="D58" s="2" t="s">
        <v>13</v>
      </c>
      <c r="E58" s="2" t="s">
        <v>14</v>
      </c>
      <c r="F58" s="2" t="str">
        <f>IF(COUNTIF(C58,"*" &amp; D58 &amp; "*")&gt;0,"TRUE","FALSE")</f>
        <v>TRUE</v>
      </c>
    </row>
    <row r="59" spans="1:6" x14ac:dyDescent="0.35">
      <c r="A59" s="2" t="s">
        <v>114</v>
      </c>
      <c r="B59" s="3" t="s">
        <v>31</v>
      </c>
      <c r="C59" s="2" t="s">
        <v>12</v>
      </c>
      <c r="D59" s="2" t="s">
        <v>13</v>
      </c>
      <c r="E59" s="2" t="s">
        <v>14</v>
      </c>
      <c r="F59" s="2" t="str">
        <f>IF(COUNTIF(C59,"*" &amp; D59 &amp; "*")&gt;0,"TRUE","FALSE")</f>
        <v>TRUE</v>
      </c>
    </row>
    <row r="60" spans="1:6" x14ac:dyDescent="0.35">
      <c r="A60" s="2" t="s">
        <v>115</v>
      </c>
      <c r="B60" s="3" t="s">
        <v>31</v>
      </c>
      <c r="C60" s="2" t="s">
        <v>12</v>
      </c>
      <c r="D60" s="2" t="s">
        <v>13</v>
      </c>
      <c r="E60" s="2" t="s">
        <v>14</v>
      </c>
      <c r="F60" s="2" t="str">
        <f>IF(COUNTIF(C60,"*" &amp; D60 &amp; "*")&gt;0,"TRUE","FALSE")</f>
        <v>TRUE</v>
      </c>
    </row>
    <row r="61" spans="1:6" x14ac:dyDescent="0.35">
      <c r="A61" s="2" t="s">
        <v>116</v>
      </c>
      <c r="B61" s="3" t="s">
        <v>117</v>
      </c>
      <c r="C61" s="2" t="s">
        <v>7</v>
      </c>
      <c r="D61" s="2" t="s">
        <v>8</v>
      </c>
      <c r="E61" s="2" t="s">
        <v>111</v>
      </c>
      <c r="F61" s="2" t="str">
        <f>IF(COUNTIF(C61,"*" &amp; D61 &amp; "*")&gt;0,"TRUE","FALSE")</f>
        <v>TRUE</v>
      </c>
    </row>
    <row r="62" spans="1:6" x14ac:dyDescent="0.35">
      <c r="A62" s="2" t="s">
        <v>118</v>
      </c>
      <c r="B62" s="3" t="s">
        <v>119</v>
      </c>
      <c r="C62" s="2" t="s">
        <v>12</v>
      </c>
      <c r="D62" s="2" t="s">
        <v>13</v>
      </c>
      <c r="E62" s="2" t="s">
        <v>14</v>
      </c>
      <c r="F62" s="2" t="str">
        <f>IF(COUNTIF(C62,"*" &amp; D62 &amp; "*")&gt;0,"TRUE","FALSE")</f>
        <v>TRUE</v>
      </c>
    </row>
    <row r="63" spans="1:6" x14ac:dyDescent="0.35">
      <c r="A63" s="2" t="s">
        <v>120</v>
      </c>
      <c r="B63" s="3" t="s">
        <v>121</v>
      </c>
      <c r="C63" s="2" t="s">
        <v>7</v>
      </c>
      <c r="D63" s="2" t="s">
        <v>8</v>
      </c>
      <c r="E63" s="2" t="s">
        <v>25</v>
      </c>
      <c r="F63" s="2" t="str">
        <f>IF(COUNTIF(C63,"*" &amp; D63 &amp; "*")&gt;0,"TRUE","FALSE")</f>
        <v>TRUE</v>
      </c>
    </row>
    <row r="64" spans="1:6" x14ac:dyDescent="0.35">
      <c r="A64" s="2" t="s">
        <v>122</v>
      </c>
      <c r="B64" s="3" t="s">
        <v>18</v>
      </c>
      <c r="C64" s="2" t="s">
        <v>7</v>
      </c>
      <c r="D64" s="2" t="s">
        <v>8</v>
      </c>
      <c r="E64" s="2" t="s">
        <v>84</v>
      </c>
      <c r="F64" s="2" t="str">
        <f>IF(COUNTIF(C64,"*" &amp; D64 &amp; "*")&gt;0,"TRUE","FALSE")</f>
        <v>TRUE</v>
      </c>
    </row>
    <row r="65" spans="1:6" x14ac:dyDescent="0.35">
      <c r="A65" s="2" t="s">
        <v>123</v>
      </c>
      <c r="B65" s="3" t="s">
        <v>124</v>
      </c>
      <c r="C65" s="2" t="s">
        <v>2</v>
      </c>
      <c r="D65" s="2" t="s">
        <v>3</v>
      </c>
      <c r="E65" s="2" t="s">
        <v>4</v>
      </c>
      <c r="F65" s="2" t="str">
        <f>IF(COUNTIF(C65,"*" &amp; D65 &amp; "*")&gt;0,"TRUE","FALSE")</f>
        <v>TRUE</v>
      </c>
    </row>
    <row r="66" spans="1:6" x14ac:dyDescent="0.35">
      <c r="A66" s="2" t="s">
        <v>125</v>
      </c>
      <c r="B66" s="3" t="s">
        <v>126</v>
      </c>
      <c r="C66" s="2" t="s">
        <v>2</v>
      </c>
      <c r="D66" s="2" t="s">
        <v>3</v>
      </c>
      <c r="E66" s="2" t="s">
        <v>4</v>
      </c>
      <c r="F66" s="2" t="str">
        <f>IF(COUNTIF(C66,"*" &amp; D66 &amp; "*")&gt;0,"TRUE","FALSE")</f>
        <v>TRUE</v>
      </c>
    </row>
    <row r="67" spans="1:6" x14ac:dyDescent="0.35">
      <c r="A67" s="2" t="s">
        <v>127</v>
      </c>
      <c r="B67" s="3" t="s">
        <v>31</v>
      </c>
      <c r="C67" s="2" t="s">
        <v>12</v>
      </c>
      <c r="D67" s="2" t="s">
        <v>13</v>
      </c>
      <c r="E67" s="2" t="s">
        <v>14</v>
      </c>
      <c r="F67" s="2" t="str">
        <f>IF(COUNTIF(C67,"*" &amp; D67 &amp; "*")&gt;0,"TRUE","FALSE")</f>
        <v>TRUE</v>
      </c>
    </row>
    <row r="68" spans="1:6" x14ac:dyDescent="0.35">
      <c r="A68" s="2" t="s">
        <v>128</v>
      </c>
      <c r="B68" s="3" t="s">
        <v>31</v>
      </c>
      <c r="C68" s="2" t="s">
        <v>12</v>
      </c>
      <c r="D68" s="2" t="s">
        <v>13</v>
      </c>
      <c r="E68" s="2" t="s">
        <v>14</v>
      </c>
      <c r="F68" s="2" t="str">
        <f>IF(COUNTIF(C68,"*" &amp; D68 &amp; "*")&gt;0,"TRUE","FALSE")</f>
        <v>TRUE</v>
      </c>
    </row>
    <row r="69" spans="1:6" x14ac:dyDescent="0.35">
      <c r="A69" s="2" t="s">
        <v>129</v>
      </c>
      <c r="B69" s="3" t="s">
        <v>27</v>
      </c>
      <c r="C69" s="2" t="s">
        <v>12</v>
      </c>
      <c r="D69" s="2" t="s">
        <v>13</v>
      </c>
      <c r="E69" s="2" t="s">
        <v>14</v>
      </c>
      <c r="F69" s="2" t="str">
        <f>IF(COUNTIF(C69,"*" &amp; D69 &amp; "*")&gt;0,"TRUE","FALSE")</f>
        <v>TRUE</v>
      </c>
    </row>
    <row r="70" spans="1:6" x14ac:dyDescent="0.35">
      <c r="A70" s="2" t="s">
        <v>130</v>
      </c>
      <c r="B70" s="3" t="s">
        <v>27</v>
      </c>
      <c r="C70" s="2" t="s">
        <v>12</v>
      </c>
      <c r="D70" s="2" t="s">
        <v>13</v>
      </c>
      <c r="E70" s="2" t="s">
        <v>14</v>
      </c>
      <c r="F70" s="2" t="str">
        <f>IF(COUNTIF(C70,"*" &amp; D70 &amp; "*")&gt;0,"TRUE","FALSE")</f>
        <v>TRUE</v>
      </c>
    </row>
    <row r="71" spans="1:6" x14ac:dyDescent="0.35">
      <c r="A71" s="2" t="s">
        <v>131</v>
      </c>
      <c r="B71" s="3" t="s">
        <v>50</v>
      </c>
      <c r="C71" s="2" t="s">
        <v>7</v>
      </c>
      <c r="D71" s="2" t="s">
        <v>8</v>
      </c>
      <c r="E71" s="2" t="s">
        <v>19</v>
      </c>
      <c r="F71" s="2" t="str">
        <f>IF(COUNTIF(C71,"*" &amp; D71 &amp; "*")&gt;0,"TRUE","FALSE")</f>
        <v>TRUE</v>
      </c>
    </row>
    <row r="72" spans="1:6" x14ac:dyDescent="0.35">
      <c r="A72" s="2" t="s">
        <v>132</v>
      </c>
      <c r="B72" s="3" t="s">
        <v>35</v>
      </c>
      <c r="C72" s="2" t="s">
        <v>7</v>
      </c>
      <c r="D72" s="2" t="s">
        <v>8</v>
      </c>
      <c r="E72" s="2" t="s">
        <v>25</v>
      </c>
      <c r="F72" s="2" t="str">
        <f>IF(COUNTIF(C72,"*" &amp; D72 &amp; "*")&gt;0,"TRUE","FALSE")</f>
        <v>TRUE</v>
      </c>
    </row>
    <row r="73" spans="1:6" x14ac:dyDescent="0.35">
      <c r="A73" s="2" t="s">
        <v>133</v>
      </c>
      <c r="B73" s="3" t="s">
        <v>18</v>
      </c>
      <c r="C73" s="2" t="s">
        <v>7</v>
      </c>
      <c r="D73" s="2" t="s">
        <v>8</v>
      </c>
      <c r="E73" s="2" t="s">
        <v>111</v>
      </c>
      <c r="F73" s="2" t="str">
        <f>IF(COUNTIF(C73,"*" &amp; D73 &amp; "*")&gt;0,"TRUE","FALSE")</f>
        <v>TRUE</v>
      </c>
    </row>
    <row r="74" spans="1:6" x14ac:dyDescent="0.35">
      <c r="A74" s="2" t="s">
        <v>134</v>
      </c>
      <c r="B74" s="3" t="s">
        <v>135</v>
      </c>
      <c r="C74" s="2" t="s">
        <v>38</v>
      </c>
      <c r="D74" s="2" t="s">
        <v>39</v>
      </c>
      <c r="E74" s="2" t="s">
        <v>136</v>
      </c>
      <c r="F74" s="2" t="str">
        <f>IF(COUNTIF(C74,"*" &amp; D74 &amp; "*")&gt;0,"TRUE","FALSE")</f>
        <v>TRUE</v>
      </c>
    </row>
    <row r="75" spans="1:6" x14ac:dyDescent="0.35">
      <c r="A75" s="2" t="s">
        <v>137</v>
      </c>
      <c r="B75" s="3" t="s">
        <v>138</v>
      </c>
      <c r="C75" s="2" t="s">
        <v>7</v>
      </c>
      <c r="D75" s="2" t="s">
        <v>8</v>
      </c>
      <c r="E75" s="2" t="s">
        <v>84</v>
      </c>
      <c r="F75" s="2" t="str">
        <f>IF(COUNTIF(C75,"*" &amp; D75 &amp; "*")&gt;0,"TRUE","FALSE")</f>
        <v>TRUE</v>
      </c>
    </row>
    <row r="76" spans="1:6" x14ac:dyDescent="0.35">
      <c r="A76" s="2" t="s">
        <v>139</v>
      </c>
      <c r="B76" s="3" t="s">
        <v>140</v>
      </c>
      <c r="C76" s="2" t="s">
        <v>60</v>
      </c>
      <c r="D76" s="2" t="s">
        <v>61</v>
      </c>
      <c r="E76" s="2" t="s">
        <v>62</v>
      </c>
      <c r="F76" s="2" t="str">
        <f>IF(COUNTIF(C76,"*" &amp; D76 &amp; "*")&gt;0,"TRUE","FALSE")</f>
        <v>TRUE</v>
      </c>
    </row>
    <row r="77" spans="1:6" x14ac:dyDescent="0.35">
      <c r="A77" s="2" t="s">
        <v>141</v>
      </c>
      <c r="B77" s="3" t="s">
        <v>142</v>
      </c>
      <c r="C77" s="2" t="s">
        <v>60</v>
      </c>
      <c r="D77" s="2" t="s">
        <v>61</v>
      </c>
      <c r="E77" s="2" t="s">
        <v>62</v>
      </c>
      <c r="F77" s="2" t="str">
        <f>IF(COUNTIF(C77,"*" &amp; D77 &amp; "*")&gt;0,"TRUE","FALSE")</f>
        <v>TRUE</v>
      </c>
    </row>
    <row r="78" spans="1:6" x14ac:dyDescent="0.35">
      <c r="A78" s="2" t="s">
        <v>143</v>
      </c>
      <c r="B78" s="3" t="s">
        <v>144</v>
      </c>
      <c r="C78" s="2" t="s">
        <v>60</v>
      </c>
      <c r="D78" s="2" t="s">
        <v>61</v>
      </c>
      <c r="E78" s="2" t="s">
        <v>62</v>
      </c>
      <c r="F78" s="2" t="str">
        <f>IF(COUNTIF(C78,"*" &amp; D78 &amp; "*")&gt;0,"TRUE","FALSE")</f>
        <v>TRUE</v>
      </c>
    </row>
    <row r="79" spans="1:6" x14ac:dyDescent="0.35">
      <c r="A79" s="2" t="s">
        <v>145</v>
      </c>
      <c r="B79" s="3" t="s">
        <v>146</v>
      </c>
      <c r="C79" s="2" t="s">
        <v>60</v>
      </c>
      <c r="D79" s="2" t="s">
        <v>61</v>
      </c>
      <c r="E79" s="2" t="s">
        <v>62</v>
      </c>
      <c r="F79" s="2" t="str">
        <f>IF(COUNTIF(C79,"*" &amp; D79 &amp; "*")&gt;0,"TRUE","FALSE")</f>
        <v>TRUE</v>
      </c>
    </row>
    <row r="80" spans="1:6" x14ac:dyDescent="0.35">
      <c r="A80" s="2" t="s">
        <v>147</v>
      </c>
      <c r="B80" s="3" t="s">
        <v>148</v>
      </c>
      <c r="C80" s="2" t="s">
        <v>60</v>
      </c>
      <c r="D80" s="2" t="s">
        <v>61</v>
      </c>
      <c r="E80" s="2" t="s">
        <v>62</v>
      </c>
      <c r="F80" s="2" t="str">
        <f>IF(COUNTIF(C80,"*" &amp; D80 &amp; "*")&gt;0,"TRUE","FALSE")</f>
        <v>TRUE</v>
      </c>
    </row>
    <row r="81" spans="1:6" x14ac:dyDescent="0.35">
      <c r="A81" s="2" t="s">
        <v>149</v>
      </c>
      <c r="B81" s="3" t="s">
        <v>150</v>
      </c>
      <c r="C81" s="2" t="s">
        <v>60</v>
      </c>
      <c r="D81" s="2" t="s">
        <v>61</v>
      </c>
      <c r="E81" s="2" t="s">
        <v>62</v>
      </c>
      <c r="F81" s="2" t="str">
        <f>IF(COUNTIF(C81,"*" &amp; D81 &amp; "*")&gt;0,"TRUE","FALSE")</f>
        <v>TRUE</v>
      </c>
    </row>
    <row r="82" spans="1:6" x14ac:dyDescent="0.35">
      <c r="A82" s="2" t="s">
        <v>151</v>
      </c>
      <c r="B82" s="3" t="s">
        <v>152</v>
      </c>
      <c r="C82" s="2" t="s">
        <v>2</v>
      </c>
      <c r="D82" s="2" t="s">
        <v>3</v>
      </c>
      <c r="E82" s="2" t="s">
        <v>4</v>
      </c>
      <c r="F82" s="2" t="str">
        <f>IF(COUNTIF(C82,"*" &amp; D82 &amp; "*")&gt;0,"TRUE","FALSE")</f>
        <v>TRUE</v>
      </c>
    </row>
    <row r="83" spans="1:6" x14ac:dyDescent="0.35">
      <c r="A83" s="2" t="s">
        <v>153</v>
      </c>
      <c r="B83" s="3" t="s">
        <v>152</v>
      </c>
      <c r="C83" s="2" t="s">
        <v>2</v>
      </c>
      <c r="D83" s="2" t="s">
        <v>3</v>
      </c>
      <c r="E83" s="2" t="s">
        <v>4</v>
      </c>
      <c r="F83" s="2" t="str">
        <f>IF(COUNTIF(C83,"*" &amp; D83 &amp; "*")&gt;0,"TRUE","FALSE")</f>
        <v>TRUE</v>
      </c>
    </row>
    <row r="84" spans="1:6" x14ac:dyDescent="0.35">
      <c r="A84" s="2" t="s">
        <v>154</v>
      </c>
      <c r="B84" s="3" t="s">
        <v>155</v>
      </c>
      <c r="C84" s="2" t="s">
        <v>38</v>
      </c>
      <c r="D84" s="2" t="s">
        <v>39</v>
      </c>
      <c r="E84" s="2" t="s">
        <v>65</v>
      </c>
      <c r="F84" s="2" t="str">
        <f>IF(COUNTIF(C84,"*" &amp; D84 &amp; "*")&gt;0,"TRUE","FALSE")</f>
        <v>TRUE</v>
      </c>
    </row>
    <row r="85" spans="1:6" x14ac:dyDescent="0.35">
      <c r="A85" s="2" t="s">
        <v>156</v>
      </c>
      <c r="B85" s="3" t="s">
        <v>157</v>
      </c>
      <c r="C85" s="2" t="s">
        <v>38</v>
      </c>
      <c r="D85" s="2" t="s">
        <v>39</v>
      </c>
      <c r="E85" s="2" t="s">
        <v>65</v>
      </c>
      <c r="F85" s="2" t="str">
        <f>IF(COUNTIF(C85,"*" &amp; D85 &amp; "*")&gt;0,"TRUE","FALSE")</f>
        <v>TRUE</v>
      </c>
    </row>
    <row r="86" spans="1:6" x14ac:dyDescent="0.35">
      <c r="A86" s="2" t="s">
        <v>158</v>
      </c>
      <c r="B86" s="3" t="s">
        <v>72</v>
      </c>
      <c r="C86" s="2" t="s">
        <v>38</v>
      </c>
      <c r="D86" s="2" t="s">
        <v>39</v>
      </c>
      <c r="E86" s="2" t="s">
        <v>40</v>
      </c>
      <c r="F86" s="2" t="str">
        <f>IF(COUNTIF(C86,"*" &amp; D86 &amp; "*")&gt;0,"TRUE","FALSE")</f>
        <v>TRUE</v>
      </c>
    </row>
    <row r="87" spans="1:6" x14ac:dyDescent="0.35">
      <c r="A87" s="2" t="s">
        <v>159</v>
      </c>
      <c r="B87" s="3" t="s">
        <v>160</v>
      </c>
      <c r="C87" s="2" t="s">
        <v>75</v>
      </c>
      <c r="D87" s="2" t="s">
        <v>76</v>
      </c>
      <c r="E87" s="2" t="s">
        <v>77</v>
      </c>
      <c r="F87" s="2" t="str">
        <f>IF(COUNTIF(C87,"*" &amp; D87 &amp; "*")&gt;0,"TRUE","FALSE")</f>
        <v>TRUE</v>
      </c>
    </row>
    <row r="88" spans="1:6" x14ac:dyDescent="0.35">
      <c r="A88" s="2" t="s">
        <v>161</v>
      </c>
      <c r="B88" s="3" t="s">
        <v>162</v>
      </c>
      <c r="C88" s="2" t="s">
        <v>75</v>
      </c>
      <c r="D88" s="2" t="s">
        <v>76</v>
      </c>
      <c r="E88" s="2" t="s">
        <v>77</v>
      </c>
      <c r="F88" s="2" t="str">
        <f>IF(COUNTIF(C88,"*" &amp; D88 &amp; "*")&gt;0,"TRUE","FALSE")</f>
        <v>TRUE</v>
      </c>
    </row>
    <row r="89" spans="1:6" x14ac:dyDescent="0.35">
      <c r="A89" s="2" t="s">
        <v>163</v>
      </c>
      <c r="B89" s="3" t="s">
        <v>160</v>
      </c>
      <c r="C89" s="2" t="s">
        <v>75</v>
      </c>
      <c r="D89" s="2" t="s">
        <v>76</v>
      </c>
      <c r="E89" s="2" t="s">
        <v>77</v>
      </c>
      <c r="F89" s="2" t="str">
        <f>IF(COUNTIF(C89,"*" &amp; D89 &amp; "*")&gt;0,"TRUE","FALSE")</f>
        <v>TRUE</v>
      </c>
    </row>
    <row r="90" spans="1:6" x14ac:dyDescent="0.35">
      <c r="A90" s="2" t="s">
        <v>164</v>
      </c>
      <c r="B90" s="3" t="s">
        <v>27</v>
      </c>
      <c r="C90" s="2" t="s">
        <v>12</v>
      </c>
      <c r="D90" s="2" t="s">
        <v>13</v>
      </c>
      <c r="E90" s="2" t="s">
        <v>14</v>
      </c>
      <c r="F90" s="2" t="str">
        <f>IF(COUNTIF(C90,"*" &amp; D90 &amp; "*")&gt;0,"TRUE","FALSE")</f>
        <v>TRUE</v>
      </c>
    </row>
    <row r="91" spans="1:6" x14ac:dyDescent="0.35">
      <c r="A91" s="2" t="s">
        <v>165</v>
      </c>
      <c r="B91" s="3" t="s">
        <v>166</v>
      </c>
      <c r="C91" s="2" t="s">
        <v>60</v>
      </c>
      <c r="D91" s="2" t="s">
        <v>61</v>
      </c>
      <c r="E91" s="2" t="s">
        <v>62</v>
      </c>
      <c r="F91" s="2" t="str">
        <f>IF(COUNTIF(C91,"*" &amp; D91 &amp; "*")&gt;0,"TRUE","FALSE")</f>
        <v>TRUE</v>
      </c>
    </row>
    <row r="92" spans="1:6" x14ac:dyDescent="0.35">
      <c r="A92" s="2" t="s">
        <v>167</v>
      </c>
      <c r="B92" s="3" t="s">
        <v>144</v>
      </c>
      <c r="C92" s="2" t="s">
        <v>60</v>
      </c>
      <c r="D92" s="2" t="s">
        <v>61</v>
      </c>
      <c r="E92" s="2" t="s">
        <v>62</v>
      </c>
      <c r="F92" s="2" t="str">
        <f>IF(COUNTIF(C92,"*" &amp; D92 &amp; "*")&gt;0,"TRUE","FALSE")</f>
        <v>TRUE</v>
      </c>
    </row>
    <row r="93" spans="1:6" x14ac:dyDescent="0.35">
      <c r="A93" s="2" t="s">
        <v>168</v>
      </c>
      <c r="B93" s="3" t="s">
        <v>31</v>
      </c>
      <c r="C93" s="2" t="s">
        <v>12</v>
      </c>
      <c r="D93" s="2" t="s">
        <v>13</v>
      </c>
      <c r="E93" s="2" t="s">
        <v>14</v>
      </c>
      <c r="F93" s="2" t="str">
        <f>IF(COUNTIF(C93,"*" &amp; D93 &amp; "*")&gt;0,"TRUE","FALSE")</f>
        <v>TRUE</v>
      </c>
    </row>
    <row r="94" spans="1:6" x14ac:dyDescent="0.35">
      <c r="A94" s="2" t="s">
        <v>169</v>
      </c>
      <c r="B94" s="3" t="s">
        <v>170</v>
      </c>
      <c r="C94" s="2" t="s">
        <v>60</v>
      </c>
      <c r="D94" s="2" t="s">
        <v>61</v>
      </c>
      <c r="E94" s="2" t="s">
        <v>102</v>
      </c>
      <c r="F94" s="2" t="str">
        <f>IF(COUNTIF(C94,"*" &amp; D94 &amp; "*")&gt;0,"TRUE","FALSE")</f>
        <v>TRUE</v>
      </c>
    </row>
    <row r="95" spans="1:6" x14ac:dyDescent="0.35">
      <c r="A95" s="2" t="s">
        <v>171</v>
      </c>
      <c r="B95" s="3" t="s">
        <v>27</v>
      </c>
      <c r="C95" s="2" t="s">
        <v>12</v>
      </c>
      <c r="D95" s="2" t="s">
        <v>13</v>
      </c>
      <c r="E95" s="2" t="s">
        <v>14</v>
      </c>
      <c r="F95" s="2" t="str">
        <f>IF(COUNTIF(C95,"*" &amp; D95 &amp; "*")&gt;0,"TRUE","FALSE")</f>
        <v>TRUE</v>
      </c>
    </row>
    <row r="96" spans="1:6" x14ac:dyDescent="0.35">
      <c r="A96" s="2" t="s">
        <v>172</v>
      </c>
      <c r="B96" s="3" t="s">
        <v>173</v>
      </c>
      <c r="C96" s="2" t="s">
        <v>7</v>
      </c>
      <c r="D96" s="2" t="s">
        <v>8</v>
      </c>
      <c r="E96" s="2" t="s">
        <v>19</v>
      </c>
      <c r="F96" s="2" t="str">
        <f>IF(COUNTIF(C96,"*" &amp; D96 &amp; "*")&gt;0,"TRUE","FALSE")</f>
        <v>TRUE</v>
      </c>
    </row>
    <row r="97" spans="1:6" x14ac:dyDescent="0.35">
      <c r="A97" s="2" t="s">
        <v>174</v>
      </c>
      <c r="B97" s="3" t="s">
        <v>48</v>
      </c>
      <c r="C97" s="2" t="s">
        <v>12</v>
      </c>
      <c r="D97" s="2" t="s">
        <v>13</v>
      </c>
      <c r="E97" s="2" t="s">
        <v>14</v>
      </c>
      <c r="F97" s="2" t="str">
        <f>IF(COUNTIF(C97,"*" &amp; D97 &amp; "*")&gt;0,"TRUE","FALSE")</f>
        <v>TRUE</v>
      </c>
    </row>
    <row r="98" spans="1:6" x14ac:dyDescent="0.35">
      <c r="A98" s="2" t="s">
        <v>175</v>
      </c>
      <c r="B98" s="3" t="s">
        <v>176</v>
      </c>
      <c r="C98" s="2" t="s">
        <v>7</v>
      </c>
      <c r="D98" s="2" t="s">
        <v>8</v>
      </c>
      <c r="E98" s="2" t="s">
        <v>25</v>
      </c>
      <c r="F98" s="2" t="str">
        <f>IF(COUNTIF(C98,"*" &amp; D98 &amp; "*")&gt;0,"TRUE","FALSE")</f>
        <v>TRUE</v>
      </c>
    </row>
    <row r="99" spans="1:6" x14ac:dyDescent="0.35">
      <c r="A99" s="2" t="s">
        <v>177</v>
      </c>
      <c r="B99" s="3" t="s">
        <v>83</v>
      </c>
      <c r="C99" s="2" t="s">
        <v>7</v>
      </c>
      <c r="D99" s="2" t="s">
        <v>8</v>
      </c>
      <c r="E99" s="2" t="s">
        <v>25</v>
      </c>
      <c r="F99" s="2" t="str">
        <f>IF(COUNTIF(C99,"*" &amp; D99 &amp; "*")&gt;0,"TRUE","FALSE")</f>
        <v>TRUE</v>
      </c>
    </row>
    <row r="100" spans="1:6" x14ac:dyDescent="0.35">
      <c r="A100" s="2" t="s">
        <v>178</v>
      </c>
      <c r="B100" s="3" t="s">
        <v>11</v>
      </c>
      <c r="C100" s="2" t="s">
        <v>12</v>
      </c>
      <c r="D100" s="2" t="s">
        <v>13</v>
      </c>
      <c r="E100" s="2" t="s">
        <v>14</v>
      </c>
      <c r="F100" s="2" t="str">
        <f>IF(COUNTIF(C100,"*" &amp; D100 &amp; "*")&gt;0,"TRUE","FALSE")</f>
        <v>TRUE</v>
      </c>
    </row>
    <row r="101" spans="1:6" x14ac:dyDescent="0.35">
      <c r="A101" s="2" t="s">
        <v>179</v>
      </c>
      <c r="B101" s="3" t="s">
        <v>180</v>
      </c>
      <c r="C101" s="2" t="s">
        <v>7</v>
      </c>
      <c r="D101" s="2" t="s">
        <v>8</v>
      </c>
      <c r="E101" s="2" t="s">
        <v>111</v>
      </c>
      <c r="F101" s="2" t="str">
        <f>IF(COUNTIF(C101,"*" &amp; D101 &amp; "*")&gt;0,"TRUE","FALSE")</f>
        <v>TRUE</v>
      </c>
    </row>
    <row r="102" spans="1:6" x14ac:dyDescent="0.35">
      <c r="A102" s="2" t="s">
        <v>181</v>
      </c>
      <c r="B102" s="3" t="s">
        <v>11</v>
      </c>
      <c r="C102" s="2" t="s">
        <v>12</v>
      </c>
      <c r="D102" s="2" t="s">
        <v>13</v>
      </c>
      <c r="E102" s="2" t="s">
        <v>14</v>
      </c>
      <c r="F102" s="2" t="str">
        <f>IF(COUNTIF(C102,"*" &amp; D102 &amp; "*")&gt;0,"TRUE","FALSE")</f>
        <v>TRUE</v>
      </c>
    </row>
    <row r="103" spans="1:6" x14ac:dyDescent="0.35">
      <c r="A103" s="2" t="s">
        <v>182</v>
      </c>
      <c r="B103" s="3" t="s">
        <v>11</v>
      </c>
      <c r="C103" s="2" t="s">
        <v>12</v>
      </c>
      <c r="D103" s="2" t="s">
        <v>13</v>
      </c>
      <c r="E103" s="2" t="s">
        <v>14</v>
      </c>
      <c r="F103" s="2" t="str">
        <f>IF(COUNTIF(C103,"*" &amp; D103 &amp; "*")&gt;0,"TRUE","FALSE")</f>
        <v>TRUE</v>
      </c>
    </row>
    <row r="104" spans="1:6" x14ac:dyDescent="0.35">
      <c r="A104" s="2" t="s">
        <v>183</v>
      </c>
      <c r="B104" s="3" t="s">
        <v>110</v>
      </c>
      <c r="C104" s="2" t="s">
        <v>7</v>
      </c>
      <c r="D104" s="2" t="s">
        <v>8</v>
      </c>
      <c r="E104" s="2" t="s">
        <v>111</v>
      </c>
      <c r="F104" s="2" t="str">
        <f>IF(COUNTIF(C104,"*" &amp; D104 &amp; "*")&gt;0,"TRUE","FALSE")</f>
        <v>TRUE</v>
      </c>
    </row>
    <row r="105" spans="1:6" x14ac:dyDescent="0.35">
      <c r="A105" s="2" t="s">
        <v>184</v>
      </c>
      <c r="B105" s="3" t="s">
        <v>185</v>
      </c>
      <c r="C105" s="2" t="s">
        <v>60</v>
      </c>
      <c r="D105" s="2" t="s">
        <v>61</v>
      </c>
      <c r="E105" s="2" t="s">
        <v>102</v>
      </c>
      <c r="F105" s="2" t="str">
        <f>IF(COUNTIF(C105,"*" &amp; D105 &amp; "*")&gt;0,"TRUE","FALSE")</f>
        <v>TRUE</v>
      </c>
    </row>
    <row r="106" spans="1:6" x14ac:dyDescent="0.35">
      <c r="A106" s="2" t="s">
        <v>186</v>
      </c>
      <c r="B106" s="3" t="s">
        <v>27</v>
      </c>
      <c r="C106" s="2" t="s">
        <v>12</v>
      </c>
      <c r="D106" s="2" t="s">
        <v>13</v>
      </c>
      <c r="E106" s="2" t="s">
        <v>14</v>
      </c>
      <c r="F106" s="2" t="str">
        <f>IF(COUNTIF(C106,"*" &amp; D106 &amp; "*")&gt;0,"TRUE","FALSE")</f>
        <v>TRUE</v>
      </c>
    </row>
    <row r="107" spans="1:6" x14ac:dyDescent="0.35">
      <c r="A107" s="2" t="s">
        <v>187</v>
      </c>
      <c r="B107" s="3" t="s">
        <v>188</v>
      </c>
      <c r="C107" s="2" t="s">
        <v>75</v>
      </c>
      <c r="D107" s="2" t="s">
        <v>76</v>
      </c>
      <c r="E107" s="2" t="s">
        <v>189</v>
      </c>
      <c r="F107" s="2" t="str">
        <f>IF(COUNTIF(C107,"*" &amp; D107 &amp; "*")&gt;0,"TRUE","FALSE")</f>
        <v>TRUE</v>
      </c>
    </row>
    <row r="108" spans="1:6" x14ac:dyDescent="0.35">
      <c r="A108" s="2" t="s">
        <v>190</v>
      </c>
      <c r="B108" s="3" t="s">
        <v>46</v>
      </c>
      <c r="C108" s="2" t="s">
        <v>38</v>
      </c>
      <c r="D108" s="2" t="s">
        <v>39</v>
      </c>
      <c r="E108" s="2" t="s">
        <v>65</v>
      </c>
      <c r="F108" s="2" t="str">
        <f>IF(COUNTIF(C108,"*" &amp; D108 &amp; "*")&gt;0,"TRUE","FALSE")</f>
        <v>TRUE</v>
      </c>
    </row>
    <row r="109" spans="1:6" x14ac:dyDescent="0.35">
      <c r="A109" s="2" t="s">
        <v>191</v>
      </c>
      <c r="B109" s="3" t="s">
        <v>35</v>
      </c>
      <c r="C109" s="2" t="s">
        <v>7</v>
      </c>
      <c r="D109" s="2" t="s">
        <v>8</v>
      </c>
      <c r="E109" s="2" t="s">
        <v>25</v>
      </c>
      <c r="F109" s="2" t="str">
        <f>IF(COUNTIF(C109,"*" &amp; D109 &amp; "*")&gt;0,"TRUE","FALSE")</f>
        <v>TRUE</v>
      </c>
    </row>
    <row r="110" spans="1:6" x14ac:dyDescent="0.35">
      <c r="A110" s="2" t="s">
        <v>192</v>
      </c>
      <c r="B110" s="3" t="s">
        <v>35</v>
      </c>
      <c r="C110" s="2" t="s">
        <v>7</v>
      </c>
      <c r="D110" s="2" t="s">
        <v>8</v>
      </c>
      <c r="E110" s="2" t="s">
        <v>25</v>
      </c>
      <c r="F110" s="2" t="str">
        <f>IF(COUNTIF(C110,"*" &amp; D110 &amp; "*")&gt;0,"TRUE","FALSE")</f>
        <v>TRUE</v>
      </c>
    </row>
    <row r="111" spans="1:6" x14ac:dyDescent="0.35">
      <c r="A111" s="2" t="s">
        <v>193</v>
      </c>
      <c r="B111" s="3" t="s">
        <v>194</v>
      </c>
      <c r="C111" s="2" t="s">
        <v>2</v>
      </c>
      <c r="D111" s="2" t="s">
        <v>3</v>
      </c>
      <c r="E111" s="2" t="s">
        <v>4</v>
      </c>
      <c r="F111" s="2" t="str">
        <f>IF(COUNTIF(C111,"*" &amp; D111 &amp; "*")&gt;0,"TRUE","FALSE")</f>
        <v>TRUE</v>
      </c>
    </row>
    <row r="112" spans="1:6" x14ac:dyDescent="0.35">
      <c r="A112" s="2" t="s">
        <v>195</v>
      </c>
      <c r="B112" s="3" t="s">
        <v>83</v>
      </c>
      <c r="C112" s="2" t="s">
        <v>7</v>
      </c>
      <c r="D112" s="2" t="s">
        <v>8</v>
      </c>
      <c r="E112" s="2" t="s">
        <v>84</v>
      </c>
      <c r="F112" s="2" t="str">
        <f>IF(COUNTIF(C112,"*" &amp; D112 &amp; "*")&gt;0,"TRUE","FALSE")</f>
        <v>TRUE</v>
      </c>
    </row>
    <row r="113" spans="1:6" x14ac:dyDescent="0.35">
      <c r="A113" s="2" t="s">
        <v>196</v>
      </c>
      <c r="B113" s="3" t="s">
        <v>18</v>
      </c>
      <c r="C113" s="2" t="s">
        <v>7</v>
      </c>
      <c r="D113" s="2" t="s">
        <v>8</v>
      </c>
      <c r="E113" s="2" t="s">
        <v>84</v>
      </c>
      <c r="F113" s="2" t="str">
        <f>IF(COUNTIF(C113,"*" &amp; D113 &amp; "*")&gt;0,"TRUE","FALSE")</f>
        <v>TRUE</v>
      </c>
    </row>
    <row r="114" spans="1:6" x14ac:dyDescent="0.35">
      <c r="A114" s="2" t="s">
        <v>197</v>
      </c>
      <c r="B114" s="3" t="s">
        <v>198</v>
      </c>
      <c r="C114" s="2" t="s">
        <v>12</v>
      </c>
      <c r="D114" s="2" t="s">
        <v>13</v>
      </c>
      <c r="E114" s="2" t="s">
        <v>14</v>
      </c>
      <c r="F114" s="2" t="str">
        <f>IF(COUNTIF(C114,"*" &amp; D114 &amp; "*")&gt;0,"TRUE","FALSE")</f>
        <v>TRUE</v>
      </c>
    </row>
    <row r="115" spans="1:6" x14ac:dyDescent="0.35">
      <c r="A115" s="2" t="s">
        <v>199</v>
      </c>
      <c r="B115" s="3" t="s">
        <v>35</v>
      </c>
      <c r="C115" s="2" t="s">
        <v>7</v>
      </c>
      <c r="D115" s="2" t="s">
        <v>8</v>
      </c>
      <c r="E115" s="2" t="s">
        <v>19</v>
      </c>
      <c r="F115" s="2" t="str">
        <f>IF(COUNTIF(C115,"*" &amp; D115 &amp; "*")&gt;0,"TRUE","FALSE")</f>
        <v>TRUE</v>
      </c>
    </row>
    <row r="116" spans="1:6" x14ac:dyDescent="0.35">
      <c r="A116" s="2" t="s">
        <v>200</v>
      </c>
      <c r="B116" s="3" t="s">
        <v>201</v>
      </c>
      <c r="C116" s="2" t="s">
        <v>7</v>
      </c>
      <c r="D116" s="2" t="s">
        <v>8</v>
      </c>
      <c r="E116" s="2" t="s">
        <v>9</v>
      </c>
      <c r="F116" s="2" t="str">
        <f>IF(COUNTIF(C116,"*" &amp; D116 &amp; "*")&gt;0,"TRUE","FALSE")</f>
        <v>TRUE</v>
      </c>
    </row>
    <row r="117" spans="1:6" x14ac:dyDescent="0.35">
      <c r="A117" s="2" t="s">
        <v>202</v>
      </c>
      <c r="B117" s="3" t="s">
        <v>101</v>
      </c>
      <c r="C117" s="2" t="s">
        <v>60</v>
      </c>
      <c r="D117" s="2" t="s">
        <v>61</v>
      </c>
      <c r="E117" s="2" t="s">
        <v>203</v>
      </c>
      <c r="F117" s="2" t="str">
        <f>IF(COUNTIF(C117,"*" &amp; D117 &amp; "*")&gt;0,"TRUE","FALSE")</f>
        <v>TRUE</v>
      </c>
    </row>
    <row r="118" spans="1:6" x14ac:dyDescent="0.35">
      <c r="A118" s="2" t="s">
        <v>204</v>
      </c>
      <c r="B118" s="3" t="s">
        <v>205</v>
      </c>
      <c r="C118" s="2" t="s">
        <v>60</v>
      </c>
      <c r="D118" s="2" t="s">
        <v>61</v>
      </c>
      <c r="E118" s="2" t="s">
        <v>62</v>
      </c>
      <c r="F118" s="2" t="str">
        <f>IF(COUNTIF(C118,"*" &amp; D118 &amp; "*")&gt;0,"TRUE","FALSE")</f>
        <v>TRUE</v>
      </c>
    </row>
    <row r="119" spans="1:6" x14ac:dyDescent="0.35">
      <c r="A119" s="2" t="s">
        <v>206</v>
      </c>
      <c r="B119" s="3" t="s">
        <v>207</v>
      </c>
      <c r="C119" s="2" t="s">
        <v>60</v>
      </c>
      <c r="D119" s="2" t="s">
        <v>76</v>
      </c>
      <c r="E119" s="2" t="s">
        <v>208</v>
      </c>
      <c r="F119" s="2" t="str">
        <f>IF(COUNTIF(C119,"*" &amp; D119 &amp; "*")&gt;0,"TRUE","FALSE")</f>
        <v>FALSE</v>
      </c>
    </row>
    <row r="120" spans="1:6" x14ac:dyDescent="0.35">
      <c r="A120" s="2" t="s">
        <v>209</v>
      </c>
      <c r="B120" s="3" t="s">
        <v>210</v>
      </c>
      <c r="C120" s="2" t="s">
        <v>211</v>
      </c>
      <c r="D120" s="2" t="s">
        <v>76</v>
      </c>
      <c r="E120" s="2" t="s">
        <v>208</v>
      </c>
      <c r="F120" s="2" t="str">
        <f>IF(COUNTIF(C120,"*" &amp; D120 &amp; "*")&gt;0,"TRUE","FALSE")</f>
        <v>FALSE</v>
      </c>
    </row>
    <row r="121" spans="1:6" x14ac:dyDescent="0.35">
      <c r="A121" s="2" t="s">
        <v>212</v>
      </c>
      <c r="B121" s="3" t="s">
        <v>213</v>
      </c>
      <c r="C121" s="2" t="s">
        <v>211</v>
      </c>
      <c r="D121" s="2" t="s">
        <v>76</v>
      </c>
      <c r="E121" s="2" t="s">
        <v>208</v>
      </c>
      <c r="F121" s="2" t="str">
        <f>IF(COUNTIF(C121,"*" &amp; D121 &amp; "*")&gt;0,"TRUE","FALSE")</f>
        <v>FALSE</v>
      </c>
    </row>
    <row r="122" spans="1:6" x14ac:dyDescent="0.35">
      <c r="A122" s="4" t="s">
        <v>214</v>
      </c>
      <c r="B122" s="5" t="s">
        <v>215</v>
      </c>
      <c r="C122" s="4" t="s">
        <v>216</v>
      </c>
      <c r="D122" s="4" t="s">
        <v>61</v>
      </c>
      <c r="E122" s="4" t="s">
        <v>203</v>
      </c>
      <c r="F122" s="4" t="str">
        <f>IF(COUNTIF(C122,"*" &amp; D122 &amp; "*")&gt;0,"TRUE","FALSE")</f>
        <v>FALSE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EXCH_QO_027@ulaval.ca</dc:creator>
  <cp:lastModifiedBy>EXCH_QO_027@ulaval.ca</cp:lastModifiedBy>
  <dcterms:created xsi:type="dcterms:W3CDTF">2024-07-25T17:58:08Z</dcterms:created>
  <dcterms:modified xsi:type="dcterms:W3CDTF">2024-07-25T18:02:35Z</dcterms:modified>
</cp:coreProperties>
</file>